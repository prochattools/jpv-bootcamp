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e00b54d3f32643b/JCC/Docs for Athina/JPV/Documents/"/>
    </mc:Choice>
  </mc:AlternateContent>
  <xr:revisionPtr revIDLastSave="0" documentId="8_{EFAE9EC1-3E86-9047-A2F6-93A398915166}" xr6:coauthVersionLast="47" xr6:coauthVersionMax="47" xr10:uidLastSave="{00000000-0000-0000-0000-000000000000}"/>
  <bookViews>
    <workbookView xWindow="0" yWindow="780" windowWidth="34200" windowHeight="19860" activeTab="3" xr2:uid="{00000000-000D-0000-FFFF-FFFF00000000}"/>
  </bookViews>
  <sheets>
    <sheet name="Inputs" sheetId="1" r:id="rId1"/>
    <sheet name="Summary" sheetId="2" r:id="rId2"/>
    <sheet name="Max Offer" sheetId="3" r:id="rId3"/>
    <sheet name="Sensitiv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0" i="3" l="1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C192" i="3"/>
  <c r="A192" i="3"/>
  <c r="B192" i="3" s="1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B177" i="3"/>
  <c r="A177" i="3"/>
  <c r="C177" i="3" s="1"/>
  <c r="A176" i="3"/>
  <c r="A175" i="3"/>
  <c r="A174" i="3"/>
  <c r="A173" i="3"/>
  <c r="A172" i="3"/>
  <c r="A171" i="3"/>
  <c r="A170" i="3"/>
  <c r="A169" i="3"/>
  <c r="A168" i="3"/>
  <c r="A167" i="3"/>
  <c r="A166" i="3"/>
  <c r="C165" i="3"/>
  <c r="A165" i="3"/>
  <c r="B165" i="3" s="1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C138" i="3"/>
  <c r="A138" i="3"/>
  <c r="B138" i="3" s="1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C111" i="3"/>
  <c r="A111" i="3"/>
  <c r="B111" i="3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B88" i="3"/>
  <c r="A88" i="3"/>
  <c r="C88" i="3" s="1"/>
  <c r="A87" i="3"/>
  <c r="A86" i="3"/>
  <c r="A85" i="3"/>
  <c r="C84" i="3"/>
  <c r="A84" i="3"/>
  <c r="B84" i="3" s="1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B63" i="3"/>
  <c r="A63" i="3"/>
  <c r="C63" i="3" s="1"/>
  <c r="A62" i="3"/>
  <c r="A61" i="3"/>
  <c r="A60" i="3"/>
  <c r="A59" i="3"/>
  <c r="A58" i="3"/>
  <c r="C57" i="3"/>
  <c r="A57" i="3"/>
  <c r="B57" i="3" s="1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C30" i="3"/>
  <c r="A30" i="3"/>
  <c r="B30" i="3" s="1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B17" i="2"/>
  <c r="B16" i="2"/>
  <c r="B15" i="2"/>
  <c r="B14" i="2"/>
  <c r="B9" i="2"/>
  <c r="B8" i="2"/>
  <c r="B7" i="2"/>
  <c r="B6" i="2"/>
  <c r="B5" i="2"/>
  <c r="B13" i="1"/>
  <c r="C210" i="3" l="1"/>
  <c r="B210" i="3"/>
  <c r="B209" i="3"/>
  <c r="C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B199" i="3"/>
  <c r="C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B191" i="3"/>
  <c r="C191" i="3"/>
  <c r="B190" i="3"/>
  <c r="C190" i="3"/>
  <c r="B189" i="3"/>
  <c r="C189" i="3"/>
  <c r="B188" i="3"/>
  <c r="C188" i="3"/>
  <c r="C187" i="3"/>
  <c r="B187" i="3"/>
  <c r="C186" i="3"/>
  <c r="B186" i="3"/>
  <c r="B185" i="3"/>
  <c r="C185" i="3"/>
  <c r="B184" i="3"/>
  <c r="C184" i="3"/>
  <c r="B183" i="3"/>
  <c r="C183" i="3"/>
  <c r="B182" i="3"/>
  <c r="C182" i="3"/>
  <c r="B181" i="3"/>
  <c r="C181" i="3"/>
  <c r="C180" i="3"/>
  <c r="B180" i="3"/>
  <c r="B179" i="3"/>
  <c r="C179" i="3"/>
  <c r="B178" i="3"/>
  <c r="C178" i="3"/>
  <c r="B176" i="3"/>
  <c r="C176" i="3"/>
  <c r="B175" i="3"/>
  <c r="C175" i="3"/>
  <c r="C174" i="3"/>
  <c r="B174" i="3"/>
  <c r="C173" i="3"/>
  <c r="B173" i="3"/>
  <c r="B172" i="3"/>
  <c r="C172" i="3"/>
  <c r="B171" i="3"/>
  <c r="C171" i="3"/>
  <c r="B170" i="3"/>
  <c r="C170" i="3"/>
  <c r="B169" i="3"/>
  <c r="C169" i="3"/>
  <c r="B168" i="3"/>
  <c r="C168" i="3"/>
  <c r="C167" i="3"/>
  <c r="B167" i="3"/>
  <c r="B166" i="3"/>
  <c r="C166" i="3"/>
  <c r="C164" i="3"/>
  <c r="B164" i="3"/>
  <c r="C163" i="3"/>
  <c r="B163" i="3"/>
  <c r="B162" i="3"/>
  <c r="C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B151" i="3"/>
  <c r="C151" i="3"/>
  <c r="B150" i="3"/>
  <c r="C150" i="3"/>
  <c r="C149" i="3"/>
  <c r="B149" i="3"/>
  <c r="C148" i="3"/>
  <c r="B148" i="3"/>
  <c r="C147" i="3"/>
  <c r="B147" i="3"/>
  <c r="C146" i="3"/>
  <c r="B146" i="3"/>
  <c r="B145" i="3"/>
  <c r="C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B137" i="3"/>
  <c r="C137" i="3"/>
  <c r="B136" i="3"/>
  <c r="C136" i="3"/>
  <c r="C135" i="3"/>
  <c r="B135" i="3"/>
  <c r="B134" i="3"/>
  <c r="C134" i="3"/>
  <c r="C133" i="3"/>
  <c r="B133" i="3"/>
  <c r="C132" i="3"/>
  <c r="B132" i="3"/>
  <c r="B131" i="3"/>
  <c r="C131" i="3"/>
  <c r="C130" i="3"/>
  <c r="B130" i="3"/>
  <c r="C129" i="3"/>
  <c r="B129" i="3"/>
  <c r="B128" i="3"/>
  <c r="C128" i="3"/>
  <c r="C127" i="3"/>
  <c r="B127" i="3"/>
  <c r="C126" i="3"/>
  <c r="B126" i="3"/>
  <c r="B125" i="3"/>
  <c r="C125" i="3"/>
  <c r="C124" i="3"/>
  <c r="B124" i="3"/>
  <c r="C123" i="3"/>
  <c r="B123" i="3"/>
  <c r="B122" i="3"/>
  <c r="C122" i="3"/>
  <c r="C121" i="3"/>
  <c r="B121" i="3"/>
  <c r="C120" i="3"/>
  <c r="B120" i="3"/>
  <c r="B119" i="3"/>
  <c r="C119" i="3"/>
  <c r="C118" i="3"/>
  <c r="B118" i="3"/>
  <c r="C117" i="3"/>
  <c r="B117" i="3"/>
  <c r="C116" i="3"/>
  <c r="B116" i="3"/>
  <c r="C115" i="3"/>
  <c r="B115" i="3"/>
  <c r="B114" i="3"/>
  <c r="C114" i="3"/>
  <c r="B113" i="3"/>
  <c r="C113" i="3"/>
  <c r="B112" i="3"/>
  <c r="C112" i="3"/>
  <c r="C110" i="3"/>
  <c r="B110" i="3"/>
  <c r="D4" i="3" s="1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B99" i="3"/>
  <c r="C99" i="3"/>
  <c r="B98" i="3"/>
  <c r="C98" i="3"/>
  <c r="B97" i="3"/>
  <c r="C97" i="3"/>
  <c r="C96" i="3"/>
  <c r="B96" i="3"/>
  <c r="C95" i="3"/>
  <c r="B95" i="3"/>
  <c r="C94" i="3"/>
  <c r="B94" i="3"/>
  <c r="C93" i="3"/>
  <c r="B93" i="3"/>
  <c r="C92" i="3"/>
  <c r="B92" i="3"/>
  <c r="C91" i="3"/>
  <c r="B91" i="3"/>
  <c r="B90" i="3"/>
  <c r="C90" i="3"/>
  <c r="C89" i="3"/>
  <c r="B89" i="3"/>
  <c r="C87" i="3"/>
  <c r="B87" i="3"/>
  <c r="C86" i="3"/>
  <c r="B86" i="3"/>
  <c r="C85" i="3"/>
  <c r="B85" i="3"/>
  <c r="B83" i="3"/>
  <c r="C83" i="3"/>
  <c r="B82" i="3"/>
  <c r="C82" i="3"/>
  <c r="B81" i="3"/>
  <c r="C81" i="3"/>
  <c r="B80" i="3"/>
  <c r="C80" i="3"/>
  <c r="B79" i="3"/>
  <c r="C79" i="3"/>
  <c r="B78" i="3"/>
  <c r="C78" i="3"/>
  <c r="B77" i="3"/>
  <c r="C77" i="3"/>
  <c r="B76" i="3"/>
  <c r="C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B68" i="3"/>
  <c r="C68" i="3"/>
  <c r="B67" i="3"/>
  <c r="C67" i="3"/>
  <c r="C66" i="3"/>
  <c r="B66" i="3"/>
  <c r="C65" i="3"/>
  <c r="B65" i="3"/>
  <c r="B64" i="3"/>
  <c r="C64" i="3"/>
  <c r="C62" i="3"/>
  <c r="B62" i="3"/>
  <c r="C61" i="3"/>
  <c r="B61" i="3"/>
  <c r="B60" i="3"/>
  <c r="C60" i="3"/>
  <c r="C59" i="3"/>
  <c r="B59" i="3"/>
  <c r="B58" i="3"/>
  <c r="C58" i="3"/>
  <c r="B56" i="3"/>
  <c r="C56" i="3"/>
  <c r="C55" i="3"/>
  <c r="B55" i="3"/>
  <c r="B54" i="3"/>
  <c r="C54" i="3"/>
  <c r="B53" i="3"/>
  <c r="C53" i="3"/>
  <c r="C52" i="3"/>
  <c r="B52" i="3"/>
  <c r="B51" i="3"/>
  <c r="C51" i="3"/>
  <c r="B50" i="3"/>
  <c r="C50" i="3"/>
  <c r="C49" i="3"/>
  <c r="B49" i="3"/>
  <c r="B48" i="3"/>
  <c r="C48" i="3"/>
  <c r="C47" i="3"/>
  <c r="B47" i="3"/>
  <c r="B46" i="3"/>
  <c r="C46" i="3"/>
  <c r="C45" i="3"/>
  <c r="B45" i="3"/>
  <c r="B44" i="3"/>
  <c r="C44" i="3"/>
  <c r="C43" i="3"/>
  <c r="B43" i="3"/>
  <c r="B42" i="3"/>
  <c r="C42" i="3"/>
  <c r="C41" i="3"/>
  <c r="B41" i="3"/>
  <c r="B40" i="3"/>
  <c r="C40" i="3"/>
  <c r="C39" i="3"/>
  <c r="B39" i="3"/>
  <c r="B38" i="3"/>
  <c r="C38" i="3"/>
  <c r="C37" i="3"/>
  <c r="B37" i="3"/>
  <c r="B36" i="3"/>
  <c r="C36" i="3"/>
  <c r="C35" i="3"/>
  <c r="B35" i="3"/>
  <c r="B34" i="3"/>
  <c r="C34" i="3"/>
  <c r="C33" i="3"/>
  <c r="B33" i="3"/>
  <c r="B32" i="3"/>
  <c r="C32" i="3"/>
  <c r="C31" i="3"/>
  <c r="B31" i="3"/>
  <c r="B29" i="3"/>
  <c r="C29" i="3"/>
  <c r="B28" i="3"/>
  <c r="C28" i="3"/>
  <c r="B27" i="3"/>
  <c r="C27" i="3"/>
  <c r="B26" i="3"/>
  <c r="C26" i="3"/>
  <c r="C25" i="3"/>
  <c r="B25" i="3"/>
  <c r="B24" i="3"/>
  <c r="C24" i="3"/>
  <c r="C23" i="3"/>
  <c r="B23" i="3"/>
  <c r="B22" i="3"/>
  <c r="C22" i="3"/>
  <c r="B21" i="3"/>
  <c r="C21" i="3"/>
  <c r="B20" i="3"/>
  <c r="C20" i="3"/>
  <c r="B19" i="3"/>
  <c r="C19" i="3"/>
  <c r="B18" i="3"/>
  <c r="C18" i="3"/>
  <c r="B17" i="3"/>
  <c r="C17" i="3"/>
  <c r="C16" i="3"/>
  <c r="B16" i="3"/>
  <c r="C15" i="3"/>
  <c r="B15" i="3"/>
  <c r="B14" i="3"/>
  <c r="C14" i="3"/>
  <c r="C13" i="3"/>
  <c r="B13" i="3"/>
  <c r="C12" i="3"/>
  <c r="B12" i="3"/>
  <c r="B11" i="3"/>
  <c r="C11" i="3"/>
  <c r="B21" i="2"/>
  <c r="B13" i="2"/>
  <c r="B10" i="2"/>
  <c r="B18" i="2" l="1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B24" i="2" l="1"/>
  <c r="B19" i="2"/>
  <c r="B22" i="2" l="1"/>
  <c r="B23" i="2" s="1"/>
  <c r="B20" i="2"/>
  <c r="B4" i="4"/>
  <c r="B25" i="2"/>
  <c r="B26" i="2" s="1"/>
</calcChain>
</file>

<file path=xl/sharedStrings.xml><?xml version="1.0" encoding="utf-8"?>
<sst xmlns="http://schemas.openxmlformats.org/spreadsheetml/2006/main" count="84" uniqueCount="80">
  <si>
    <t>UK Property Flip Deal Calculator</t>
  </si>
  <si>
    <t>Inputs are blue (editable). Results are calculated. Tax rates are based on official guidance—always verify for your transaction.</t>
  </si>
  <si>
    <t>DEAL BASICS</t>
  </si>
  <si>
    <t>Purchase price</t>
  </si>
  <si>
    <t>Expected sale price</t>
  </si>
  <si>
    <t>Location (tax system)</t>
  </si>
  <si>
    <t>England &amp; N. Ireland</t>
  </si>
  <si>
    <t>Buyer type</t>
  </si>
  <si>
    <t>Additional / Investor</t>
  </si>
  <si>
    <t>Non‑UK resident surcharge (Eng/N.I. only)</t>
  </si>
  <si>
    <t>No</t>
  </si>
  <si>
    <t>Project duration (months)</t>
  </si>
  <si>
    <t>ACQUISITION COSTS</t>
  </si>
  <si>
    <t>Transaction tax (auto)  →</t>
  </si>
  <si>
    <t>Manual override (leave blank to use auto)</t>
  </si>
  <si>
    <t>Purchase legal fees</t>
  </si>
  <si>
    <t>Survey / valuation</t>
  </si>
  <si>
    <t>Broker / sourcing fee</t>
  </si>
  <si>
    <t>Other acquisition costs</t>
  </si>
  <si>
    <t>FINANCE (OPTIONAL / BRIDGING STYLE)</t>
  </si>
  <si>
    <t>Loan-to-value (LTV) %</t>
  </si>
  <si>
    <t>Annual interest rate %</t>
  </si>
  <si>
    <t>Arrangement fee % (of total loan)</t>
  </si>
  <si>
    <t>Exit fee % (of total loan)</t>
  </si>
  <si>
    <t>Refurb financed?</t>
  </si>
  <si>
    <t>Refurb loan % of total refurb (if financed)</t>
  </si>
  <si>
    <t>Average refurb drawdown factor (0–1)</t>
  </si>
  <si>
    <t>REFURB / VALUE-ADD</t>
  </si>
  <si>
    <t>Refurb budget</t>
  </si>
  <si>
    <t>Contingency %</t>
  </si>
  <si>
    <t>Furniture / staging (capex)</t>
  </si>
  <si>
    <t>Professional fees (architect, etc.)</t>
  </si>
  <si>
    <t>Other works</t>
  </si>
  <si>
    <t>HOLDING COSTS (MONTHLY)</t>
  </si>
  <si>
    <t>Council tax + utilities + insurance / month</t>
  </si>
  <si>
    <t>Other holding costs / month</t>
  </si>
  <si>
    <t>SELLING COSTS</t>
  </si>
  <si>
    <t>Estate agent fee % (of sale price)</t>
  </si>
  <si>
    <t>Sale legal fees</t>
  </si>
  <si>
    <t>EPC / certificates</t>
  </si>
  <si>
    <t>Marketing / staging (opex)</t>
  </si>
  <si>
    <t>Other sale costs</t>
  </si>
  <si>
    <t>TAX (OPTIONAL QUICK ESTIMATE)</t>
  </si>
  <si>
    <t>Apply tax estimate?</t>
  </si>
  <si>
    <t>Effective tax rate % (if applied)</t>
  </si>
  <si>
    <t>Summary (auto-calculated)</t>
  </si>
  <si>
    <t>Key outputs for your flip. Change Inputs → the results update.</t>
  </si>
  <si>
    <t>INPUTS (REFERENCE)</t>
  </si>
  <si>
    <t>Sale price</t>
  </si>
  <si>
    <t>Location</t>
  </si>
  <si>
    <t>Duration (months)</t>
  </si>
  <si>
    <t>Transaction tax</t>
  </si>
  <si>
    <t>COST BREAKDOWN</t>
  </si>
  <si>
    <t>Total acquisition (incl. tax)</t>
  </si>
  <si>
    <t>Total refurb (incl. contingency)</t>
  </si>
  <si>
    <t>Total holding (monthly x months)</t>
  </si>
  <si>
    <t>Total finance (interest + fees)</t>
  </si>
  <si>
    <t>Total selling (incl. agent)</t>
  </si>
  <si>
    <t>TOTAL COST</t>
  </si>
  <si>
    <t>GROSS PROFIT (pre-tax)</t>
  </si>
  <si>
    <t>Profit margin</t>
  </si>
  <si>
    <t>Peak cash required (rough)</t>
  </si>
  <si>
    <t>ROI on cash (pre-tax)</t>
  </si>
  <si>
    <t>Annualised ROI (pre-tax)</t>
  </si>
  <si>
    <t>Break-even sale price</t>
  </si>
  <si>
    <t>Post-tax profit (optional)</t>
  </si>
  <si>
    <t>ROI on cash (post-tax)</t>
  </si>
  <si>
    <t>Max Offer Finder (target profit)</t>
  </si>
  <si>
    <t>Sets a target profit and searches a price range to find the highest purchase price that still meets it.</t>
  </si>
  <si>
    <t>Target profit (pre-tax)</t>
  </si>
  <si>
    <t>Max offer meeting target</t>
  </si>
  <si>
    <t>Min offer price</t>
  </si>
  <si>
    <t>Max offer price</t>
  </si>
  <si>
    <t>Step</t>
  </si>
  <si>
    <t>Offer price</t>
  </si>
  <si>
    <t>Profit (pre-tax)</t>
  </si>
  <si>
    <t>Sensitivity (Profit) — Sale Price vs Refurb Cost</t>
  </si>
  <si>
    <t>Shows how profit changes if sale price or refurb costs move. (All other inputs held constant.)</t>
  </si>
  <si>
    <t>Base profit</t>
  </si>
  <si>
    <t>Refurb Δ \ Sale 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</si>
</sst>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404040"/>
      <name val="Calibri"/>
    </font>
    <font>
      <b/>
      <sz val="12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2F559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0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0" fontId="8" fillId="7" borderId="1" xfId="0" applyNumberFormat="1" applyFont="1" applyFill="1" applyBorder="1" applyAlignment="1">
      <alignment horizontal="center" vertical="center"/>
    </xf>
    <xf numFmtId="10" fontId="9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36" customWidth="1"/>
    <col min="2" max="2" width="18" customWidth="1"/>
    <col min="3" max="3" width="32" customWidth="1"/>
    <col min="4" max="4" width="18" customWidth="1"/>
  </cols>
  <sheetData>
    <row r="1" spans="1:4" ht="24" x14ac:dyDescent="0.2">
      <c r="A1" s="20" t="s">
        <v>0</v>
      </c>
      <c r="B1" s="21"/>
      <c r="C1" s="21"/>
      <c r="D1" s="21"/>
    </row>
    <row r="2" spans="1:4" x14ac:dyDescent="0.2">
      <c r="A2" s="25" t="s">
        <v>1</v>
      </c>
      <c r="B2" s="21"/>
      <c r="C2" s="21"/>
      <c r="D2" s="21"/>
    </row>
    <row r="4" spans="1:4" ht="16" x14ac:dyDescent="0.2">
      <c r="A4" s="22" t="s">
        <v>2</v>
      </c>
      <c r="B4" s="23"/>
      <c r="C4" s="23"/>
      <c r="D4" s="24"/>
    </row>
    <row r="5" spans="1:4" x14ac:dyDescent="0.2">
      <c r="A5" s="1" t="s">
        <v>3</v>
      </c>
      <c r="B5" s="2">
        <v>250000</v>
      </c>
    </row>
    <row r="6" spans="1:4" x14ac:dyDescent="0.2">
      <c r="A6" s="1" t="s">
        <v>4</v>
      </c>
      <c r="B6" s="2">
        <v>320000</v>
      </c>
    </row>
    <row r="7" spans="1:4" x14ac:dyDescent="0.2">
      <c r="A7" s="1" t="s">
        <v>5</v>
      </c>
      <c r="B7" s="3" t="s">
        <v>6</v>
      </c>
    </row>
    <row r="8" spans="1:4" x14ac:dyDescent="0.2">
      <c r="A8" s="1" t="s">
        <v>7</v>
      </c>
      <c r="B8" s="3" t="s">
        <v>8</v>
      </c>
    </row>
    <row r="9" spans="1:4" x14ac:dyDescent="0.2">
      <c r="A9" s="1" t="s">
        <v>9</v>
      </c>
      <c r="B9" s="3" t="s">
        <v>10</v>
      </c>
    </row>
    <row r="10" spans="1:4" x14ac:dyDescent="0.2">
      <c r="A10" s="1" t="s">
        <v>11</v>
      </c>
      <c r="B10" s="4">
        <v>6</v>
      </c>
    </row>
    <row r="12" spans="1:4" ht="16" x14ac:dyDescent="0.2">
      <c r="A12" s="22" t="s">
        <v>12</v>
      </c>
      <c r="B12" s="23"/>
      <c r="C12" s="23"/>
      <c r="D12" s="24"/>
    </row>
    <row r="13" spans="1:4" x14ac:dyDescent="0.2">
      <c r="A13" s="1" t="s">
        <v>13</v>
      </c>
      <c r="B13" s="5">
        <f>IF($D$13&lt;&gt;"",$D$13,IF($B$7="England &amp; N. Ireland",(IF($B$8="First-time buyer",(IF($B$5&lt;=500000,MAX(0,$B$5-300000)*0.05,(MAX(0,MIN($B$5,250000)-125000)*0.02+MAX(0,MIN($B$5,925000)-250000)*0.05+MAX(0,MIN($B$5,1500000)-925000)*0.1+MAX(0,$B$5-1500000)*0.12))),(MAX(0,MIN($B$5,250000)-125000)*0.02+MAX(0,MIN($B$5,925000)-250000)*0.05+MAX(0,MIN($B$5,1500000)-925000)*0.1+MAX(0,$B$5-1500000)*0.12)+IF($B$8="Additional / Investor",0.05*$B$5,0)+IF($B$9="Yes",0.02*$B$5,0))),IF($B$7="Scotland",((MAX(0,MIN($B$5,250000)-145000)*0.02+MAX(0,MIN($B$5,325000)-250000)*0.05+MAX(0,MIN($B$5,750000)-325000)*0.1+MAX(0,$B$5-750000)*0.12)-IF($B$8="First-time buyer",(IF($B$5&gt;145000,MIN(600,0.02*(MIN($B$5,175000)-145000)),0)),0)+IF($B$8="Additional / Investor",0.08*$B$5,0)),IF($B$7="Wales",(IF($B$8="Additional / Investor",(MIN($B$5,180000)*0.05+MAX(0,MIN($B$5,250000)-180000)*0.085+MAX(0,MIN($B$5,400000)-250000)*0.1+MAX(0,MIN($B$5,750000)-400000)*0.125+MAX(0,MIN($B$5,1500000)-750000)*0.15+MAX(0,$B$5-1500000)*0.17),(MAX(0,MIN($B$5,400000)-225000)*0.06+MAX(0,MIN($B$5,750000)-400000)*0.075+MAX(0,MIN($B$5,1500000)-750000)*0.1+MAX(0,$B$5-1500000)*0.12))),0))))</f>
        <v>15000</v>
      </c>
      <c r="C13" s="6" t="s">
        <v>14</v>
      </c>
      <c r="D13" s="2"/>
    </row>
    <row r="14" spans="1:4" x14ac:dyDescent="0.2">
      <c r="A14" s="1" t="s">
        <v>15</v>
      </c>
      <c r="B14" s="2">
        <v>1500</v>
      </c>
    </row>
    <row r="15" spans="1:4" x14ac:dyDescent="0.2">
      <c r="A15" s="1" t="s">
        <v>16</v>
      </c>
      <c r="B15" s="2">
        <v>500</v>
      </c>
    </row>
    <row r="16" spans="1:4" x14ac:dyDescent="0.2">
      <c r="A16" s="1" t="s">
        <v>17</v>
      </c>
      <c r="B16" s="2">
        <v>0</v>
      </c>
    </row>
    <row r="17" spans="1:4" x14ac:dyDescent="0.2">
      <c r="A17" s="1" t="s">
        <v>18</v>
      </c>
      <c r="B17" s="2">
        <v>0</v>
      </c>
    </row>
    <row r="19" spans="1:4" ht="16" x14ac:dyDescent="0.2">
      <c r="A19" s="22" t="s">
        <v>19</v>
      </c>
      <c r="B19" s="23"/>
      <c r="C19" s="23"/>
      <c r="D19" s="24"/>
    </row>
    <row r="20" spans="1:4" x14ac:dyDescent="0.2">
      <c r="A20" s="1" t="s">
        <v>20</v>
      </c>
      <c r="B20" s="7">
        <v>0.75</v>
      </c>
    </row>
    <row r="21" spans="1:4" x14ac:dyDescent="0.2">
      <c r="A21" s="1" t="s">
        <v>21</v>
      </c>
      <c r="B21" s="7">
        <v>0.12</v>
      </c>
    </row>
    <row r="22" spans="1:4" x14ac:dyDescent="0.2">
      <c r="A22" s="1" t="s">
        <v>22</v>
      </c>
      <c r="B22" s="7">
        <v>0.02</v>
      </c>
    </row>
    <row r="23" spans="1:4" x14ac:dyDescent="0.2">
      <c r="A23" s="1" t="s">
        <v>23</v>
      </c>
      <c r="B23" s="7">
        <v>0.01</v>
      </c>
    </row>
    <row r="24" spans="1:4" x14ac:dyDescent="0.2">
      <c r="A24" s="1" t="s">
        <v>24</v>
      </c>
      <c r="B24" s="3" t="s">
        <v>10</v>
      </c>
    </row>
    <row r="25" spans="1:4" x14ac:dyDescent="0.2">
      <c r="A25" s="1" t="s">
        <v>25</v>
      </c>
      <c r="B25" s="7">
        <v>0</v>
      </c>
    </row>
    <row r="26" spans="1:4" x14ac:dyDescent="0.2">
      <c r="A26" s="1" t="s">
        <v>26</v>
      </c>
      <c r="B26" s="8">
        <v>0.5</v>
      </c>
    </row>
    <row r="28" spans="1:4" ht="16" x14ac:dyDescent="0.2">
      <c r="A28" s="22" t="s">
        <v>27</v>
      </c>
      <c r="B28" s="23"/>
      <c r="C28" s="23"/>
      <c r="D28" s="24"/>
    </row>
    <row r="29" spans="1:4" x14ac:dyDescent="0.2">
      <c r="A29" s="1" t="s">
        <v>28</v>
      </c>
      <c r="B29" s="2">
        <v>25000</v>
      </c>
    </row>
    <row r="30" spans="1:4" x14ac:dyDescent="0.2">
      <c r="A30" s="1" t="s">
        <v>29</v>
      </c>
      <c r="B30" s="7">
        <v>0.1</v>
      </c>
    </row>
    <row r="31" spans="1:4" x14ac:dyDescent="0.2">
      <c r="A31" s="1" t="s">
        <v>30</v>
      </c>
      <c r="B31" s="2">
        <v>0</v>
      </c>
    </row>
    <row r="32" spans="1:4" x14ac:dyDescent="0.2">
      <c r="A32" s="1" t="s">
        <v>31</v>
      </c>
      <c r="B32" s="2">
        <v>0</v>
      </c>
    </row>
    <row r="33" spans="1:4" x14ac:dyDescent="0.2">
      <c r="A33" s="1" t="s">
        <v>32</v>
      </c>
      <c r="B33" s="2">
        <v>0</v>
      </c>
    </row>
    <row r="35" spans="1:4" ht="16" x14ac:dyDescent="0.2">
      <c r="A35" s="22" t="s">
        <v>33</v>
      </c>
      <c r="B35" s="23"/>
      <c r="C35" s="23"/>
      <c r="D35" s="24"/>
    </row>
    <row r="36" spans="1:4" x14ac:dyDescent="0.2">
      <c r="A36" s="1" t="s">
        <v>34</v>
      </c>
      <c r="B36" s="2">
        <v>350</v>
      </c>
    </row>
    <row r="37" spans="1:4" x14ac:dyDescent="0.2">
      <c r="A37" s="1" t="s">
        <v>35</v>
      </c>
      <c r="B37" s="2">
        <v>0</v>
      </c>
    </row>
    <row r="39" spans="1:4" ht="16" x14ac:dyDescent="0.2">
      <c r="A39" s="22" t="s">
        <v>36</v>
      </c>
      <c r="B39" s="23"/>
      <c r="C39" s="23"/>
      <c r="D39" s="24"/>
    </row>
    <row r="40" spans="1:4" x14ac:dyDescent="0.2">
      <c r="A40" s="1" t="s">
        <v>37</v>
      </c>
      <c r="B40" s="7">
        <v>1.4999999999999999E-2</v>
      </c>
    </row>
    <row r="41" spans="1:4" x14ac:dyDescent="0.2">
      <c r="A41" s="1" t="s">
        <v>38</v>
      </c>
      <c r="B41" s="2">
        <v>1200</v>
      </c>
    </row>
    <row r="42" spans="1:4" x14ac:dyDescent="0.2">
      <c r="A42" s="1" t="s">
        <v>39</v>
      </c>
      <c r="B42" s="2">
        <v>0</v>
      </c>
    </row>
    <row r="43" spans="1:4" x14ac:dyDescent="0.2">
      <c r="A43" s="1" t="s">
        <v>40</v>
      </c>
      <c r="B43" s="2">
        <v>0</v>
      </c>
    </row>
    <row r="44" spans="1:4" x14ac:dyDescent="0.2">
      <c r="A44" s="1" t="s">
        <v>41</v>
      </c>
      <c r="B44" s="2">
        <v>0</v>
      </c>
    </row>
    <row r="46" spans="1:4" ht="16" x14ac:dyDescent="0.2">
      <c r="A46" s="22" t="s">
        <v>42</v>
      </c>
      <c r="B46" s="23"/>
      <c r="C46" s="23"/>
      <c r="D46" s="24"/>
    </row>
    <row r="47" spans="1:4" x14ac:dyDescent="0.2">
      <c r="A47" s="1" t="s">
        <v>43</v>
      </c>
      <c r="B47" s="3" t="s">
        <v>10</v>
      </c>
    </row>
    <row r="48" spans="1:4" x14ac:dyDescent="0.2">
      <c r="A48" s="1" t="s">
        <v>44</v>
      </c>
      <c r="B48" s="7">
        <v>0.2</v>
      </c>
    </row>
  </sheetData>
  <mergeCells count="9">
    <mergeCell ref="A46:D46"/>
    <mergeCell ref="A1:D1"/>
    <mergeCell ref="A12:D12"/>
    <mergeCell ref="A4:D4"/>
    <mergeCell ref="A35:D35"/>
    <mergeCell ref="A39:D39"/>
    <mergeCell ref="A19:D19"/>
    <mergeCell ref="A2:D2"/>
    <mergeCell ref="A28:D28"/>
  </mergeCells>
  <dataValidations count="3">
    <dataValidation type="list" sqref="B7" xr:uid="{00000000-0002-0000-0000-000000000000}">
      <formula1>"England &amp; N. Ireland,Scotland,Wales"</formula1>
    </dataValidation>
    <dataValidation type="list" sqref="B8" xr:uid="{00000000-0002-0000-0000-000001000000}">
      <formula1>"Additional / Investor,Only / Replacing main residence,First-time buyer"</formula1>
    </dataValidation>
    <dataValidation type="list" sqref="B9 B24 B47" xr:uid="{00000000-0002-0000-0000-000002000000}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3" width="30" customWidth="1"/>
    <col min="4" max="4" width="20" customWidth="1"/>
  </cols>
  <sheetData>
    <row r="1" spans="1:4" ht="24" x14ac:dyDescent="0.2">
      <c r="A1" s="20" t="s">
        <v>45</v>
      </c>
      <c r="B1" s="21"/>
      <c r="C1" s="21"/>
      <c r="D1" s="21"/>
    </row>
    <row r="2" spans="1:4" x14ac:dyDescent="0.2">
      <c r="A2" s="25" t="s">
        <v>46</v>
      </c>
      <c r="B2" s="21"/>
      <c r="C2" s="21"/>
      <c r="D2" s="21"/>
    </row>
    <row r="4" spans="1:4" ht="16" x14ac:dyDescent="0.2">
      <c r="A4" s="22" t="s">
        <v>47</v>
      </c>
      <c r="B4" s="23"/>
      <c r="C4" s="23"/>
      <c r="D4" s="24"/>
    </row>
    <row r="5" spans="1:4" x14ac:dyDescent="0.2">
      <c r="A5" s="1" t="s">
        <v>3</v>
      </c>
      <c r="B5" s="5">
        <f>Inputs!B5</f>
        <v>250000</v>
      </c>
    </row>
    <row r="6" spans="1:4" x14ac:dyDescent="0.2">
      <c r="A6" s="1" t="s">
        <v>48</v>
      </c>
      <c r="B6" s="5">
        <f>Inputs!B6</f>
        <v>320000</v>
      </c>
    </row>
    <row r="7" spans="1:4" x14ac:dyDescent="0.2">
      <c r="A7" s="1" t="s">
        <v>49</v>
      </c>
      <c r="B7" s="9" t="str">
        <f>Inputs!B7</f>
        <v>England &amp; N. Ireland</v>
      </c>
    </row>
    <row r="8" spans="1:4" x14ac:dyDescent="0.2">
      <c r="A8" s="1" t="s">
        <v>7</v>
      </c>
      <c r="B8" s="9" t="str">
        <f>Inputs!B8</f>
        <v>Additional / Investor</v>
      </c>
    </row>
    <row r="9" spans="1:4" x14ac:dyDescent="0.2">
      <c r="A9" s="1" t="s">
        <v>50</v>
      </c>
      <c r="B9" s="10">
        <f>Inputs!B10</f>
        <v>6</v>
      </c>
    </row>
    <row r="10" spans="1:4" x14ac:dyDescent="0.2">
      <c r="A10" s="1" t="s">
        <v>51</v>
      </c>
      <c r="B10" s="5">
        <f>Inputs!B13</f>
        <v>15000</v>
      </c>
    </row>
    <row r="12" spans="1:4" ht="16" x14ac:dyDescent="0.2">
      <c r="A12" s="22" t="s">
        <v>52</v>
      </c>
      <c r="B12" s="23"/>
      <c r="C12" s="23"/>
      <c r="D12" s="24"/>
    </row>
    <row r="13" spans="1:4" x14ac:dyDescent="0.2">
      <c r="A13" s="1" t="s">
        <v>53</v>
      </c>
      <c r="B13" s="5">
        <f>(Inputs!B5)+(Inputs!B13)+(Inputs!B14)+(Inputs!B15)+(Inputs!B16)+(Inputs!B17)</f>
        <v>267000</v>
      </c>
    </row>
    <row r="14" spans="1:4" x14ac:dyDescent="0.2">
      <c r="A14" s="1" t="s">
        <v>54</v>
      </c>
      <c r="B14" s="5">
        <f>(Inputs!B29)*(1+(Inputs!B30))+(Inputs!B31)+(Inputs!B32)+(Inputs!B33)</f>
        <v>27500.000000000004</v>
      </c>
    </row>
    <row r="15" spans="1:4" x14ac:dyDescent="0.2">
      <c r="A15" s="1" t="s">
        <v>55</v>
      </c>
      <c r="B15" s="5">
        <f>((Inputs!B36)+(Inputs!B37))*(Inputs!B10)</f>
        <v>2100</v>
      </c>
    </row>
    <row r="16" spans="1:4" x14ac:dyDescent="0.2">
      <c r="A16" s="1" t="s">
        <v>56</v>
      </c>
      <c r="B16" s="5">
        <f>((((Inputs!B5)*(Inputs!B20))+(IF(Inputs!B24="Yes",(B14)*(Inputs!B25),0))*(Inputs!B26))*(Inputs!B21)*(Inputs!B10)/12)+((((Inputs!B5)*(Inputs!B20))+(IF(Inputs!B24="Yes",(B14)*(Inputs!B25),0)))*(Inputs!B22))+((((Inputs!B5)*(Inputs!B20))+(IF(Inputs!B24="Yes",(B14)*(Inputs!B25),0)))*(Inputs!B23))</f>
        <v>16875</v>
      </c>
    </row>
    <row r="17" spans="1:2" x14ac:dyDescent="0.2">
      <c r="A17" s="1" t="s">
        <v>57</v>
      </c>
      <c r="B17" s="5">
        <f>(Inputs!B6)*(Inputs!B40)+(Inputs!B41)+(Inputs!B42)+(Inputs!B43)+(Inputs!B44)</f>
        <v>6000</v>
      </c>
    </row>
    <row r="18" spans="1:2" x14ac:dyDescent="0.2">
      <c r="A18" s="11" t="s">
        <v>58</v>
      </c>
      <c r="B18" s="5">
        <f>B13+B14+B15+B16+B17</f>
        <v>319475</v>
      </c>
    </row>
    <row r="19" spans="1:2" x14ac:dyDescent="0.2">
      <c r="A19" s="11" t="s">
        <v>59</v>
      </c>
      <c r="B19" s="12">
        <f>(Inputs!B6)-B18</f>
        <v>525</v>
      </c>
    </row>
    <row r="20" spans="1:2" x14ac:dyDescent="0.2">
      <c r="A20" s="1" t="s">
        <v>60</v>
      </c>
      <c r="B20" s="13">
        <f>IF((Inputs!B6)=0,0,B19/(Inputs!B6))</f>
        <v>1.6406249999999999E-3</v>
      </c>
    </row>
    <row r="21" spans="1:2" x14ac:dyDescent="0.2">
      <c r="A21" s="1" t="s">
        <v>61</v>
      </c>
      <c r="B21" s="5">
        <f>((Inputs!B5)*(1-(Inputs!B20)))+(Inputs!B13)+(Inputs!B14)+(Inputs!B15)+(Inputs!B16)+(Inputs!B17)+((B14)-(IF(Inputs!B24="Yes",(B14)*(Inputs!B25),0)))+B15+B16+(Inputs!B43)</f>
        <v>125975</v>
      </c>
    </row>
    <row r="22" spans="1:2" x14ac:dyDescent="0.2">
      <c r="A22" s="1" t="s">
        <v>62</v>
      </c>
      <c r="B22" s="13">
        <f>IF(B21=0,0,B19/B21)</f>
        <v>4.1674935503076011E-3</v>
      </c>
    </row>
    <row r="23" spans="1:2" x14ac:dyDescent="0.2">
      <c r="A23" s="1" t="s">
        <v>63</v>
      </c>
      <c r="B23" s="13">
        <f>IF((Inputs!B10)=0,0,(1+B22)^(12/(Inputs!B10))-1)</f>
        <v>8.3523551031068344E-3</v>
      </c>
    </row>
    <row r="24" spans="1:2" x14ac:dyDescent="0.2">
      <c r="A24" s="1" t="s">
        <v>64</v>
      </c>
      <c r="B24" s="5">
        <f>(B18-(Inputs!B6)*(Inputs!B40))/(1-(Inputs!B40))</f>
        <v>319467.00507614214</v>
      </c>
    </row>
    <row r="25" spans="1:2" x14ac:dyDescent="0.2">
      <c r="A25" s="1" t="s">
        <v>65</v>
      </c>
      <c r="B25" s="5">
        <f>IF(Inputs!B47="Yes",B19*(1-(Inputs!B48)),B19)</f>
        <v>525</v>
      </c>
    </row>
    <row r="26" spans="1:2" x14ac:dyDescent="0.2">
      <c r="A26" s="1" t="s">
        <v>66</v>
      </c>
      <c r="B26" s="13">
        <f>IF(B21=0,0,B25/B21)</f>
        <v>4.1674935503076011E-3</v>
      </c>
    </row>
  </sheetData>
  <mergeCells count="4">
    <mergeCell ref="A1:D1"/>
    <mergeCell ref="A12:D12"/>
    <mergeCell ref="A4:D4"/>
    <mergeCell ref="A2:D2"/>
  </mergeCells>
  <conditionalFormatting sqref="B1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0"/>
  <sheetViews>
    <sheetView showGridLines="0" workbookViewId="0">
      <pane ySplit="10" topLeftCell="A11" activePane="bottomLeft" state="frozen"/>
      <selection pane="bottomLeft" sqref="A1:D1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26" customWidth="1"/>
    <col min="4" max="4" width="20" customWidth="1"/>
  </cols>
  <sheetData>
    <row r="1" spans="1:4" ht="24" x14ac:dyDescent="0.2">
      <c r="A1" s="20" t="s">
        <v>67</v>
      </c>
      <c r="B1" s="21"/>
      <c r="C1" s="21"/>
      <c r="D1" s="21"/>
    </row>
    <row r="2" spans="1:4" x14ac:dyDescent="0.2">
      <c r="A2" s="25" t="s">
        <v>68</v>
      </c>
      <c r="B2" s="21"/>
      <c r="C2" s="21"/>
      <c r="D2" s="21"/>
    </row>
    <row r="4" spans="1:4" ht="16" x14ac:dyDescent="0.2">
      <c r="A4" s="1" t="s">
        <v>69</v>
      </c>
      <c r="B4" s="2">
        <v>20000</v>
      </c>
      <c r="C4" s="1" t="s">
        <v>70</v>
      </c>
      <c r="D4" s="14">
        <f>IFERROR(LOOKUP(2,1/(B11:B210&gt;= $B$4),A11:A210),"")</f>
        <v>1095000</v>
      </c>
    </row>
    <row r="5" spans="1:4" x14ac:dyDescent="0.2">
      <c r="A5" s="1" t="s">
        <v>71</v>
      </c>
      <c r="B5" s="2">
        <v>100000</v>
      </c>
    </row>
    <row r="6" spans="1:4" x14ac:dyDescent="0.2">
      <c r="A6" s="1" t="s">
        <v>72</v>
      </c>
      <c r="B6" s="2">
        <v>600000</v>
      </c>
    </row>
    <row r="7" spans="1:4" x14ac:dyDescent="0.2">
      <c r="A7" s="1" t="s">
        <v>73</v>
      </c>
      <c r="B7" s="2">
        <v>5000</v>
      </c>
    </row>
    <row r="10" spans="1:4" x14ac:dyDescent="0.2">
      <c r="A10" s="15" t="s">
        <v>74</v>
      </c>
      <c r="B10" s="15" t="s">
        <v>75</v>
      </c>
    </row>
    <row r="11" spans="1:4" x14ac:dyDescent="0.2">
      <c r="A11" s="16">
        <f>$B$5+(0)*$B$7</f>
        <v>100000</v>
      </c>
      <c r="B11" s="16">
        <f>IF(A11&gt;$B$6,"",(Inputs!B6)-((A11)+(IF(Inputs!D13&lt;&gt;"",Inputs!D13,IF(Inputs!B7="England &amp; N. Ireland",(IF(Inputs!B8="First-time buyer",(IF(A11&lt;=500000,MAX(0,A11-300000)*0.05,(MAX(0,MIN(A11,250000)-125000)*0.02+MAX(0,MIN(A11,925000)-250000)*0.05+MAX(0,MIN(A11,1500000)-925000)*0.1+MAX(0,A11-1500000)*0.12))),(MAX(0,MIN(A11,250000)-125000)*0.02+MAX(0,MIN(A11,925000)-250000)*0.05+MAX(0,MIN(A11,1500000)-925000)*0.1+MAX(0,A11-1500000)*0.12)+IF(Inputs!B8="Additional / Investor",0.05*A11,0)+IF(Inputs!B9="Yes",0.02*A11,0))),IF(Inputs!B7="Scotland",((MAX(0,MIN(A11,250000)-145000)*0.02+MAX(0,MIN(A11,325000)-250000)*0.05+MAX(0,MIN(A11,750000)-325000)*0.1+MAX(0,A11-750000)*0.12)-IF(Inputs!B8="First-time buyer",(IF(A11&gt;145000,MIN(600,0.02*(MIN(A11,175000)-145000)),0)),0)+IF(Inputs!B8="Additional / Investor",0.08*A11,0)),IF(Inputs!B7="Wales",(IF(Inputs!B8="Additional / Investor",(MIN(A11,180000)*0.05+MAX(0,MIN(A11,250000)-180000)*0.085+MAX(0,MIN(A11,400000)-250000)*0.1+MAX(0,MIN(A11,750000)-400000)*0.125+MAX(0,MIN(A11,1500000)-750000)*0.15+MAX(0,A11-1500000)*0.17),(MAX(0,MIN(A11,400000)-225000)*0.06+MAX(0,MIN(A11,750000)-400000)*0.075+MAX(0,MIN(A11,1500000)-750000)*0.1+MAX(0,A11-1500000)*0.12))),0)))))+(Inputs!B14+Inputs!B15+Inputs!B16+Inputs!B17)+(Summary!B14)+(Summary!B15)+(((((A11)*Inputs!B20)+(IF(Inputs!B24="Yes",(Summary!B14)*Inputs!B25,0))*Inputs!B26)*Inputs!B21*Inputs!B10/12)+((((A11)*Inputs!B20)+(IF(Inputs!B24="Yes",(Summary!B14)*Inputs!B25,0)))*Inputs!B22)+((((A11)*Inputs!B20)+(IF(Inputs!B24="Yes",(Summary!B14)*Inputs!B25,0)))*Inputs!B23))+(Summary!B17)))</f>
        <v>170650</v>
      </c>
      <c r="C11" t="str">
        <f t="shared" ref="C11:C42" si="0">IF(A11&gt;$B$6,"","")</f>
        <v/>
      </c>
    </row>
    <row r="12" spans="1:4" x14ac:dyDescent="0.2">
      <c r="A12" s="16">
        <f>$B$5+(1)*$B$7</f>
        <v>105000</v>
      </c>
      <c r="B12" s="16">
        <f>IF(A12&gt;$B$6,"",(Inputs!B6)-((A12)+(IF(Inputs!D13&lt;&gt;"",Inputs!D13,IF(Inputs!B7="England &amp; N. Ireland",(IF(Inputs!B8="First-time buyer",(IF(A12&lt;=500000,MAX(0,A12-300000)*0.05,(MAX(0,MIN(A12,250000)-125000)*0.02+MAX(0,MIN(A12,925000)-250000)*0.05+MAX(0,MIN(A12,1500000)-925000)*0.1+MAX(0,A12-1500000)*0.12))),(MAX(0,MIN(A12,250000)-125000)*0.02+MAX(0,MIN(A12,925000)-250000)*0.05+MAX(0,MIN(A12,1500000)-925000)*0.1+MAX(0,A12-1500000)*0.12)+IF(Inputs!B8="Additional / Investor",0.05*A12,0)+IF(Inputs!B9="Yes",0.02*A12,0))),IF(Inputs!B7="Scotland",((MAX(0,MIN(A12,250000)-145000)*0.02+MAX(0,MIN(A12,325000)-250000)*0.05+MAX(0,MIN(A12,750000)-325000)*0.1+MAX(0,A12-750000)*0.12)-IF(Inputs!B8="First-time buyer",(IF(A12&gt;145000,MIN(600,0.02*(MIN(A12,175000)-145000)),0)),0)+IF(Inputs!B8="Additional / Investor",0.08*A12,0)),IF(Inputs!B7="Wales",(IF(Inputs!B8="Additional / Investor",(MIN(A12,180000)*0.05+MAX(0,MIN(A12,250000)-180000)*0.085+MAX(0,MIN(A12,400000)-250000)*0.1+MAX(0,MIN(A12,750000)-400000)*0.125+MAX(0,MIN(A12,1500000)-750000)*0.15+MAX(0,A12-1500000)*0.17),(MAX(0,MIN(A12,400000)-225000)*0.06+MAX(0,MIN(A12,750000)-400000)*0.075+MAX(0,MIN(A12,1500000)-750000)*0.1+MAX(0,A12-1500000)*0.12))),0)))))+(Inputs!B14+Inputs!B15+Inputs!B16+Inputs!B17)+(Summary!B14)+(Summary!B15)+(((((A12)*Inputs!B20)+(IF(Inputs!B24="Yes",(Summary!B14)*Inputs!B25,0))*Inputs!B26)*Inputs!B21*Inputs!B10/12)+((((A12)*Inputs!B20)+(IF(Inputs!B24="Yes",(Summary!B14)*Inputs!B25,0)))*Inputs!B22)+((((A12)*Inputs!B20)+(IF(Inputs!B24="Yes",(Summary!B14)*Inputs!B25,0)))*Inputs!B23))+(Summary!B17)))</f>
        <v>165062.5</v>
      </c>
      <c r="C12" t="str">
        <f t="shared" si="0"/>
        <v/>
      </c>
    </row>
    <row r="13" spans="1:4" x14ac:dyDescent="0.2">
      <c r="A13" s="16">
        <f>$B$5+(2)*$B$7</f>
        <v>110000</v>
      </c>
      <c r="B13" s="16">
        <f>IF(A13&gt;$B$6,"",(Inputs!B6)-((A13)+(IF(Inputs!D13&lt;&gt;"",Inputs!D13,IF(Inputs!B7="England &amp; N. Ireland",(IF(Inputs!B8="First-time buyer",(IF(A13&lt;=500000,MAX(0,A13-300000)*0.05,(MAX(0,MIN(A13,250000)-125000)*0.02+MAX(0,MIN(A13,925000)-250000)*0.05+MAX(0,MIN(A13,1500000)-925000)*0.1+MAX(0,A13-1500000)*0.12))),(MAX(0,MIN(A13,250000)-125000)*0.02+MAX(0,MIN(A13,925000)-250000)*0.05+MAX(0,MIN(A13,1500000)-925000)*0.1+MAX(0,A13-1500000)*0.12)+IF(Inputs!B8="Additional / Investor",0.05*A13,0)+IF(Inputs!B9="Yes",0.02*A13,0))),IF(Inputs!B7="Scotland",((MAX(0,MIN(A13,250000)-145000)*0.02+MAX(0,MIN(A13,325000)-250000)*0.05+MAX(0,MIN(A13,750000)-325000)*0.1+MAX(0,A13-750000)*0.12)-IF(Inputs!B8="First-time buyer",(IF(A13&gt;145000,MIN(600,0.02*(MIN(A13,175000)-145000)),0)),0)+IF(Inputs!B8="Additional / Investor",0.08*A13,0)),IF(Inputs!B7="Wales",(IF(Inputs!B8="Additional / Investor",(MIN(A13,180000)*0.05+MAX(0,MIN(A13,250000)-180000)*0.085+MAX(0,MIN(A13,400000)-250000)*0.1+MAX(0,MIN(A13,750000)-400000)*0.125+MAX(0,MIN(A13,1500000)-750000)*0.15+MAX(0,A13-1500000)*0.17),(MAX(0,MIN(A13,400000)-225000)*0.06+MAX(0,MIN(A13,750000)-400000)*0.075+MAX(0,MIN(A13,1500000)-750000)*0.1+MAX(0,A13-1500000)*0.12))),0)))))+(Inputs!B14+Inputs!B15+Inputs!B16+Inputs!B17)+(Summary!B14)+(Summary!B15)+(((((A13)*Inputs!B20)+(IF(Inputs!B24="Yes",(Summary!B14)*Inputs!B25,0))*Inputs!B26)*Inputs!B21*Inputs!B10/12)+((((A13)*Inputs!B20)+(IF(Inputs!B24="Yes",(Summary!B14)*Inputs!B25,0)))*Inputs!B22)+((((A13)*Inputs!B20)+(IF(Inputs!B24="Yes",(Summary!B14)*Inputs!B25,0)))*Inputs!B23))+(Summary!B17)))</f>
        <v>159475</v>
      </c>
      <c r="C13" t="str">
        <f t="shared" si="0"/>
        <v/>
      </c>
    </row>
    <row r="14" spans="1:4" x14ac:dyDescent="0.2">
      <c r="A14" s="16">
        <f>$B$5+(3)*$B$7</f>
        <v>115000</v>
      </c>
      <c r="B14" s="16">
        <f>IF(A14&gt;$B$6,"",(Inputs!B6)-((A14)+(IF(Inputs!D13&lt;&gt;"",Inputs!D13,IF(Inputs!B7="England &amp; N. Ireland",(IF(Inputs!B8="First-time buyer",(IF(A14&lt;=500000,MAX(0,A14-300000)*0.05,(MAX(0,MIN(A14,250000)-125000)*0.02+MAX(0,MIN(A14,925000)-250000)*0.05+MAX(0,MIN(A14,1500000)-925000)*0.1+MAX(0,A14-1500000)*0.12))),(MAX(0,MIN(A14,250000)-125000)*0.02+MAX(0,MIN(A14,925000)-250000)*0.05+MAX(0,MIN(A14,1500000)-925000)*0.1+MAX(0,A14-1500000)*0.12)+IF(Inputs!B8="Additional / Investor",0.05*A14,0)+IF(Inputs!B9="Yes",0.02*A14,0))),IF(Inputs!B7="Scotland",((MAX(0,MIN(A14,250000)-145000)*0.02+MAX(0,MIN(A14,325000)-250000)*0.05+MAX(0,MIN(A14,750000)-325000)*0.1+MAX(0,A14-750000)*0.12)-IF(Inputs!B8="First-time buyer",(IF(A14&gt;145000,MIN(600,0.02*(MIN(A14,175000)-145000)),0)),0)+IF(Inputs!B8="Additional / Investor",0.08*A14,0)),IF(Inputs!B7="Wales",(IF(Inputs!B8="Additional / Investor",(MIN(A14,180000)*0.05+MAX(0,MIN(A14,250000)-180000)*0.085+MAX(0,MIN(A14,400000)-250000)*0.1+MAX(0,MIN(A14,750000)-400000)*0.125+MAX(0,MIN(A14,1500000)-750000)*0.15+MAX(0,A14-1500000)*0.17),(MAX(0,MIN(A14,400000)-225000)*0.06+MAX(0,MIN(A14,750000)-400000)*0.075+MAX(0,MIN(A14,1500000)-750000)*0.1+MAX(0,A14-1500000)*0.12))),0)))))+(Inputs!B14+Inputs!B15+Inputs!B16+Inputs!B17)+(Summary!B14)+(Summary!B15)+(((((A14)*Inputs!B20)+(IF(Inputs!B24="Yes",(Summary!B14)*Inputs!B25,0))*Inputs!B26)*Inputs!B21*Inputs!B10/12)+((((A14)*Inputs!B20)+(IF(Inputs!B24="Yes",(Summary!B14)*Inputs!B25,0)))*Inputs!B22)+((((A14)*Inputs!B20)+(IF(Inputs!B24="Yes",(Summary!B14)*Inputs!B25,0)))*Inputs!B23))+(Summary!B17)))</f>
        <v>153887.5</v>
      </c>
      <c r="C14" t="str">
        <f t="shared" si="0"/>
        <v/>
      </c>
    </row>
    <row r="15" spans="1:4" x14ac:dyDescent="0.2">
      <c r="A15" s="16">
        <f>$B$5+(4)*$B$7</f>
        <v>120000</v>
      </c>
      <c r="B15" s="16">
        <f>IF(A15&gt;$B$6,"",(Inputs!B6)-((A15)+(IF(Inputs!D13&lt;&gt;"",Inputs!D13,IF(Inputs!B7="England &amp; N. Ireland",(IF(Inputs!B8="First-time buyer",(IF(A15&lt;=500000,MAX(0,A15-300000)*0.05,(MAX(0,MIN(A15,250000)-125000)*0.02+MAX(0,MIN(A15,925000)-250000)*0.05+MAX(0,MIN(A15,1500000)-925000)*0.1+MAX(0,A15-1500000)*0.12))),(MAX(0,MIN(A15,250000)-125000)*0.02+MAX(0,MIN(A15,925000)-250000)*0.05+MAX(0,MIN(A15,1500000)-925000)*0.1+MAX(0,A15-1500000)*0.12)+IF(Inputs!B8="Additional / Investor",0.05*A15,0)+IF(Inputs!B9="Yes",0.02*A15,0))),IF(Inputs!B7="Scotland",((MAX(0,MIN(A15,250000)-145000)*0.02+MAX(0,MIN(A15,325000)-250000)*0.05+MAX(0,MIN(A15,750000)-325000)*0.1+MAX(0,A15-750000)*0.12)-IF(Inputs!B8="First-time buyer",(IF(A15&gt;145000,MIN(600,0.02*(MIN(A15,175000)-145000)),0)),0)+IF(Inputs!B8="Additional / Investor",0.08*A15,0)),IF(Inputs!B7="Wales",(IF(Inputs!B8="Additional / Investor",(MIN(A15,180000)*0.05+MAX(0,MIN(A15,250000)-180000)*0.085+MAX(0,MIN(A15,400000)-250000)*0.1+MAX(0,MIN(A15,750000)-400000)*0.125+MAX(0,MIN(A15,1500000)-750000)*0.15+MAX(0,A15-1500000)*0.17),(MAX(0,MIN(A15,400000)-225000)*0.06+MAX(0,MIN(A15,750000)-400000)*0.075+MAX(0,MIN(A15,1500000)-750000)*0.1+MAX(0,A15-1500000)*0.12))),0)))))+(Inputs!B14+Inputs!B15+Inputs!B16+Inputs!B17)+(Summary!B14)+(Summary!B15)+(((((A15)*Inputs!B20)+(IF(Inputs!B24="Yes",(Summary!B14)*Inputs!B25,0))*Inputs!B26)*Inputs!B21*Inputs!B10/12)+((((A15)*Inputs!B20)+(IF(Inputs!B24="Yes",(Summary!B14)*Inputs!B25,0)))*Inputs!B22)+((((A15)*Inputs!B20)+(IF(Inputs!B24="Yes",(Summary!B14)*Inputs!B25,0)))*Inputs!B23))+(Summary!B17)))</f>
        <v>148300</v>
      </c>
      <c r="C15" t="str">
        <f t="shared" si="0"/>
        <v/>
      </c>
    </row>
    <row r="16" spans="1:4" x14ac:dyDescent="0.2">
      <c r="A16" s="16">
        <f>$B$5+(5)*$B$7</f>
        <v>125000</v>
      </c>
      <c r="B16" s="16">
        <f>IF(A16&gt;$B$6,"",(Inputs!B6)-((A16)+(IF(Inputs!D13&lt;&gt;"",Inputs!D13,IF(Inputs!B7="England &amp; N. Ireland",(IF(Inputs!B8="First-time buyer",(IF(A16&lt;=500000,MAX(0,A16-300000)*0.05,(MAX(0,MIN(A16,250000)-125000)*0.02+MAX(0,MIN(A16,925000)-250000)*0.05+MAX(0,MIN(A16,1500000)-925000)*0.1+MAX(0,A16-1500000)*0.12))),(MAX(0,MIN(A16,250000)-125000)*0.02+MAX(0,MIN(A16,925000)-250000)*0.05+MAX(0,MIN(A16,1500000)-925000)*0.1+MAX(0,A16-1500000)*0.12)+IF(Inputs!B8="Additional / Investor",0.05*A16,0)+IF(Inputs!B9="Yes",0.02*A16,0))),IF(Inputs!B7="Scotland",((MAX(0,MIN(A16,250000)-145000)*0.02+MAX(0,MIN(A16,325000)-250000)*0.05+MAX(0,MIN(A16,750000)-325000)*0.1+MAX(0,A16-750000)*0.12)-IF(Inputs!B8="First-time buyer",(IF(A16&gt;145000,MIN(600,0.02*(MIN(A16,175000)-145000)),0)),0)+IF(Inputs!B8="Additional / Investor",0.08*A16,0)),IF(Inputs!B7="Wales",(IF(Inputs!B8="Additional / Investor",(MIN(A16,180000)*0.05+MAX(0,MIN(A16,250000)-180000)*0.085+MAX(0,MIN(A16,400000)-250000)*0.1+MAX(0,MIN(A16,750000)-400000)*0.125+MAX(0,MIN(A16,1500000)-750000)*0.15+MAX(0,A16-1500000)*0.17),(MAX(0,MIN(A16,400000)-225000)*0.06+MAX(0,MIN(A16,750000)-400000)*0.075+MAX(0,MIN(A16,1500000)-750000)*0.1+MAX(0,A16-1500000)*0.12))),0)))))+(Inputs!B14+Inputs!B15+Inputs!B16+Inputs!B17)+(Summary!B14)+(Summary!B15)+(((((A16)*Inputs!B20)+(IF(Inputs!B24="Yes",(Summary!B14)*Inputs!B25,0))*Inputs!B26)*Inputs!B21*Inputs!B10/12)+((((A16)*Inputs!B20)+(IF(Inputs!B24="Yes",(Summary!B14)*Inputs!B25,0)))*Inputs!B22)+((((A16)*Inputs!B20)+(IF(Inputs!B24="Yes",(Summary!B14)*Inputs!B25,0)))*Inputs!B23))+(Summary!B17)))</f>
        <v>142712.5</v>
      </c>
      <c r="C16" t="str">
        <f t="shared" si="0"/>
        <v/>
      </c>
    </row>
    <row r="17" spans="1:3" x14ac:dyDescent="0.2">
      <c r="A17" s="16">
        <f>$B$5+(6)*$B$7</f>
        <v>130000</v>
      </c>
      <c r="B17" s="16">
        <f>IF(A17&gt;$B$6,"",(Inputs!B6)-((A17)+(IF(Inputs!D13&lt;&gt;"",Inputs!D13,IF(Inputs!B7="England &amp; N. Ireland",(IF(Inputs!B8="First-time buyer",(IF(A17&lt;=500000,MAX(0,A17-300000)*0.05,(MAX(0,MIN(A17,250000)-125000)*0.02+MAX(0,MIN(A17,925000)-250000)*0.05+MAX(0,MIN(A17,1500000)-925000)*0.1+MAX(0,A17-1500000)*0.12))),(MAX(0,MIN(A17,250000)-125000)*0.02+MAX(0,MIN(A17,925000)-250000)*0.05+MAX(0,MIN(A17,1500000)-925000)*0.1+MAX(0,A17-1500000)*0.12)+IF(Inputs!B8="Additional / Investor",0.05*A17,0)+IF(Inputs!B9="Yes",0.02*A17,0))),IF(Inputs!B7="Scotland",((MAX(0,MIN(A17,250000)-145000)*0.02+MAX(0,MIN(A17,325000)-250000)*0.05+MAX(0,MIN(A17,750000)-325000)*0.1+MAX(0,A17-750000)*0.12)-IF(Inputs!B8="First-time buyer",(IF(A17&gt;145000,MIN(600,0.02*(MIN(A17,175000)-145000)),0)),0)+IF(Inputs!B8="Additional / Investor",0.08*A17,0)),IF(Inputs!B7="Wales",(IF(Inputs!B8="Additional / Investor",(MIN(A17,180000)*0.05+MAX(0,MIN(A17,250000)-180000)*0.085+MAX(0,MIN(A17,400000)-250000)*0.1+MAX(0,MIN(A17,750000)-400000)*0.125+MAX(0,MIN(A17,1500000)-750000)*0.15+MAX(0,A17-1500000)*0.17),(MAX(0,MIN(A17,400000)-225000)*0.06+MAX(0,MIN(A17,750000)-400000)*0.075+MAX(0,MIN(A17,1500000)-750000)*0.1+MAX(0,A17-1500000)*0.12))),0)))))+(Inputs!B14+Inputs!B15+Inputs!B16+Inputs!B17)+(Summary!B14)+(Summary!B15)+(((((A17)*Inputs!B20)+(IF(Inputs!B24="Yes",(Summary!B14)*Inputs!B25,0))*Inputs!B26)*Inputs!B21*Inputs!B10/12)+((((A17)*Inputs!B20)+(IF(Inputs!B24="Yes",(Summary!B14)*Inputs!B25,0)))*Inputs!B22)+((((A17)*Inputs!B20)+(IF(Inputs!B24="Yes",(Summary!B14)*Inputs!B25,0)))*Inputs!B23))+(Summary!B17)))</f>
        <v>137025</v>
      </c>
      <c r="C17" t="str">
        <f t="shared" si="0"/>
        <v/>
      </c>
    </row>
    <row r="18" spans="1:3" x14ac:dyDescent="0.2">
      <c r="A18" s="16">
        <f>$B$5+(7)*$B$7</f>
        <v>135000</v>
      </c>
      <c r="B18" s="16">
        <f>IF(A18&gt;$B$6,"",(Inputs!B6)-((A18)+(IF(Inputs!D13&lt;&gt;"",Inputs!D13,IF(Inputs!B7="England &amp; N. Ireland",(IF(Inputs!B8="First-time buyer",(IF(A18&lt;=500000,MAX(0,A18-300000)*0.05,(MAX(0,MIN(A18,250000)-125000)*0.02+MAX(0,MIN(A18,925000)-250000)*0.05+MAX(0,MIN(A18,1500000)-925000)*0.1+MAX(0,A18-1500000)*0.12))),(MAX(0,MIN(A18,250000)-125000)*0.02+MAX(0,MIN(A18,925000)-250000)*0.05+MAX(0,MIN(A18,1500000)-925000)*0.1+MAX(0,A18-1500000)*0.12)+IF(Inputs!B8="Additional / Investor",0.05*A18,0)+IF(Inputs!B9="Yes",0.02*A18,0))),IF(Inputs!B7="Scotland",((MAX(0,MIN(A18,250000)-145000)*0.02+MAX(0,MIN(A18,325000)-250000)*0.05+MAX(0,MIN(A18,750000)-325000)*0.1+MAX(0,A18-750000)*0.12)-IF(Inputs!B8="First-time buyer",(IF(A18&gt;145000,MIN(600,0.02*(MIN(A18,175000)-145000)),0)),0)+IF(Inputs!B8="Additional / Investor",0.08*A18,0)),IF(Inputs!B7="Wales",(IF(Inputs!B8="Additional / Investor",(MIN(A18,180000)*0.05+MAX(0,MIN(A18,250000)-180000)*0.085+MAX(0,MIN(A18,400000)-250000)*0.1+MAX(0,MIN(A18,750000)-400000)*0.125+MAX(0,MIN(A18,1500000)-750000)*0.15+MAX(0,A18-1500000)*0.17),(MAX(0,MIN(A18,400000)-225000)*0.06+MAX(0,MIN(A18,750000)-400000)*0.075+MAX(0,MIN(A18,1500000)-750000)*0.1+MAX(0,A18-1500000)*0.12))),0)))))+(Inputs!B14+Inputs!B15+Inputs!B16+Inputs!B17)+(Summary!B14)+(Summary!B15)+(((((A18)*Inputs!B20)+(IF(Inputs!B24="Yes",(Summary!B14)*Inputs!B25,0))*Inputs!B26)*Inputs!B21*Inputs!B10/12)+((((A18)*Inputs!B20)+(IF(Inputs!B24="Yes",(Summary!B14)*Inputs!B25,0)))*Inputs!B22)+((((A18)*Inputs!B20)+(IF(Inputs!B24="Yes",(Summary!B14)*Inputs!B25,0)))*Inputs!B23))+(Summary!B17)))</f>
        <v>131337.5</v>
      </c>
      <c r="C18" t="str">
        <f t="shared" si="0"/>
        <v/>
      </c>
    </row>
    <row r="19" spans="1:3" x14ac:dyDescent="0.2">
      <c r="A19" s="16">
        <f>$B$5+(8)*$B$7</f>
        <v>140000</v>
      </c>
      <c r="B19" s="16">
        <f>IF(A19&gt;$B$6,"",(Inputs!B6)-((A19)+(IF(Inputs!D13&lt;&gt;"",Inputs!D13,IF(Inputs!B7="England &amp; N. Ireland",(IF(Inputs!B8="First-time buyer",(IF(A19&lt;=500000,MAX(0,A19-300000)*0.05,(MAX(0,MIN(A19,250000)-125000)*0.02+MAX(0,MIN(A19,925000)-250000)*0.05+MAX(0,MIN(A19,1500000)-925000)*0.1+MAX(0,A19-1500000)*0.12))),(MAX(0,MIN(A19,250000)-125000)*0.02+MAX(0,MIN(A19,925000)-250000)*0.05+MAX(0,MIN(A19,1500000)-925000)*0.1+MAX(0,A19-1500000)*0.12)+IF(Inputs!B8="Additional / Investor",0.05*A19,0)+IF(Inputs!B9="Yes",0.02*A19,0))),IF(Inputs!B7="Scotland",((MAX(0,MIN(A19,250000)-145000)*0.02+MAX(0,MIN(A19,325000)-250000)*0.05+MAX(0,MIN(A19,750000)-325000)*0.1+MAX(0,A19-750000)*0.12)-IF(Inputs!B8="First-time buyer",(IF(A19&gt;145000,MIN(600,0.02*(MIN(A19,175000)-145000)),0)),0)+IF(Inputs!B8="Additional / Investor",0.08*A19,0)),IF(Inputs!B7="Wales",(IF(Inputs!B8="Additional / Investor",(MIN(A19,180000)*0.05+MAX(0,MIN(A19,250000)-180000)*0.085+MAX(0,MIN(A19,400000)-250000)*0.1+MAX(0,MIN(A19,750000)-400000)*0.125+MAX(0,MIN(A19,1500000)-750000)*0.15+MAX(0,A19-1500000)*0.17),(MAX(0,MIN(A19,400000)-225000)*0.06+MAX(0,MIN(A19,750000)-400000)*0.075+MAX(0,MIN(A19,1500000)-750000)*0.1+MAX(0,A19-1500000)*0.12))),0)))))+(Inputs!B14+Inputs!B15+Inputs!B16+Inputs!B17)+(Summary!B14)+(Summary!B15)+(((((A19)*Inputs!B20)+(IF(Inputs!B24="Yes",(Summary!B14)*Inputs!B25,0))*Inputs!B26)*Inputs!B21*Inputs!B10/12)+((((A19)*Inputs!B20)+(IF(Inputs!B24="Yes",(Summary!B14)*Inputs!B25,0)))*Inputs!B22)+((((A19)*Inputs!B20)+(IF(Inputs!B24="Yes",(Summary!B14)*Inputs!B25,0)))*Inputs!B23))+(Summary!B17)))</f>
        <v>125650</v>
      </c>
      <c r="C19" t="str">
        <f t="shared" si="0"/>
        <v/>
      </c>
    </row>
    <row r="20" spans="1:3" x14ac:dyDescent="0.2">
      <c r="A20" s="16">
        <f>$B$5+(9)*$B$7</f>
        <v>145000</v>
      </c>
      <c r="B20" s="16">
        <f>IF(A20&gt;$B$6,"",(Inputs!B6)-((A20)+(IF(Inputs!D13&lt;&gt;"",Inputs!D13,IF(Inputs!B7="England &amp; N. Ireland",(IF(Inputs!B8="First-time buyer",(IF(A20&lt;=500000,MAX(0,A20-300000)*0.05,(MAX(0,MIN(A20,250000)-125000)*0.02+MAX(0,MIN(A20,925000)-250000)*0.05+MAX(0,MIN(A20,1500000)-925000)*0.1+MAX(0,A20-1500000)*0.12))),(MAX(0,MIN(A20,250000)-125000)*0.02+MAX(0,MIN(A20,925000)-250000)*0.05+MAX(0,MIN(A20,1500000)-925000)*0.1+MAX(0,A20-1500000)*0.12)+IF(Inputs!B8="Additional / Investor",0.05*A20,0)+IF(Inputs!B9="Yes",0.02*A20,0))),IF(Inputs!B7="Scotland",((MAX(0,MIN(A20,250000)-145000)*0.02+MAX(0,MIN(A20,325000)-250000)*0.05+MAX(0,MIN(A20,750000)-325000)*0.1+MAX(0,A20-750000)*0.12)-IF(Inputs!B8="First-time buyer",(IF(A20&gt;145000,MIN(600,0.02*(MIN(A20,175000)-145000)),0)),0)+IF(Inputs!B8="Additional / Investor",0.08*A20,0)),IF(Inputs!B7="Wales",(IF(Inputs!B8="Additional / Investor",(MIN(A20,180000)*0.05+MAX(0,MIN(A20,250000)-180000)*0.085+MAX(0,MIN(A20,400000)-250000)*0.1+MAX(0,MIN(A20,750000)-400000)*0.125+MAX(0,MIN(A20,1500000)-750000)*0.15+MAX(0,A20-1500000)*0.17),(MAX(0,MIN(A20,400000)-225000)*0.06+MAX(0,MIN(A20,750000)-400000)*0.075+MAX(0,MIN(A20,1500000)-750000)*0.1+MAX(0,A20-1500000)*0.12))),0)))))+(Inputs!B14+Inputs!B15+Inputs!B16+Inputs!B17)+(Summary!B14)+(Summary!B15)+(((((A20)*Inputs!B20)+(IF(Inputs!B24="Yes",(Summary!B14)*Inputs!B25,0))*Inputs!B26)*Inputs!B21*Inputs!B10/12)+((((A20)*Inputs!B20)+(IF(Inputs!B24="Yes",(Summary!B14)*Inputs!B25,0)))*Inputs!B22)+((((A20)*Inputs!B20)+(IF(Inputs!B24="Yes",(Summary!B14)*Inputs!B25,0)))*Inputs!B23))+(Summary!B17)))</f>
        <v>119962.5</v>
      </c>
      <c r="C20" t="str">
        <f t="shared" si="0"/>
        <v/>
      </c>
    </row>
    <row r="21" spans="1:3" x14ac:dyDescent="0.2">
      <c r="A21" s="16">
        <f>$B$5+(10)*$B$7</f>
        <v>150000</v>
      </c>
      <c r="B21" s="16">
        <f>IF(A21&gt;$B$6,"",(Inputs!B6)-((A21)+(IF(Inputs!D13&lt;&gt;"",Inputs!D13,IF(Inputs!B7="England &amp; N. Ireland",(IF(Inputs!B8="First-time buyer",(IF(A21&lt;=500000,MAX(0,A21-300000)*0.05,(MAX(0,MIN(A21,250000)-125000)*0.02+MAX(0,MIN(A21,925000)-250000)*0.05+MAX(0,MIN(A21,1500000)-925000)*0.1+MAX(0,A21-1500000)*0.12))),(MAX(0,MIN(A21,250000)-125000)*0.02+MAX(0,MIN(A21,925000)-250000)*0.05+MAX(0,MIN(A21,1500000)-925000)*0.1+MAX(0,A21-1500000)*0.12)+IF(Inputs!B8="Additional / Investor",0.05*A21,0)+IF(Inputs!B9="Yes",0.02*A21,0))),IF(Inputs!B7="Scotland",((MAX(0,MIN(A21,250000)-145000)*0.02+MAX(0,MIN(A21,325000)-250000)*0.05+MAX(0,MIN(A21,750000)-325000)*0.1+MAX(0,A21-750000)*0.12)-IF(Inputs!B8="First-time buyer",(IF(A21&gt;145000,MIN(600,0.02*(MIN(A21,175000)-145000)),0)),0)+IF(Inputs!B8="Additional / Investor",0.08*A21,0)),IF(Inputs!B7="Wales",(IF(Inputs!B8="Additional / Investor",(MIN(A21,180000)*0.05+MAX(0,MIN(A21,250000)-180000)*0.085+MAX(0,MIN(A21,400000)-250000)*0.1+MAX(0,MIN(A21,750000)-400000)*0.125+MAX(0,MIN(A21,1500000)-750000)*0.15+MAX(0,A21-1500000)*0.17),(MAX(0,MIN(A21,400000)-225000)*0.06+MAX(0,MIN(A21,750000)-400000)*0.075+MAX(0,MIN(A21,1500000)-750000)*0.1+MAX(0,A21-1500000)*0.12))),0)))))+(Inputs!B14+Inputs!B15+Inputs!B16+Inputs!B17)+(Summary!B14)+(Summary!B15)+(((((A21)*Inputs!B20)+(IF(Inputs!B24="Yes",(Summary!B14)*Inputs!B25,0))*Inputs!B26)*Inputs!B21*Inputs!B10/12)+((((A21)*Inputs!B20)+(IF(Inputs!B24="Yes",(Summary!B14)*Inputs!B25,0)))*Inputs!B22)+((((A21)*Inputs!B20)+(IF(Inputs!B24="Yes",(Summary!B14)*Inputs!B25,0)))*Inputs!B23))+(Summary!B17)))</f>
        <v>114275</v>
      </c>
      <c r="C21" t="str">
        <f t="shared" si="0"/>
        <v/>
      </c>
    </row>
    <row r="22" spans="1:3" x14ac:dyDescent="0.2">
      <c r="A22" s="16">
        <f>$B$5+(11)*$B$7</f>
        <v>155000</v>
      </c>
      <c r="B22" s="16">
        <f>IF(A22&gt;$B$6,"",(Inputs!B6)-((A22)+(IF(Inputs!D13&lt;&gt;"",Inputs!D13,IF(Inputs!B7="England &amp; N. Ireland",(IF(Inputs!B8="First-time buyer",(IF(A22&lt;=500000,MAX(0,A22-300000)*0.05,(MAX(0,MIN(A22,250000)-125000)*0.02+MAX(0,MIN(A22,925000)-250000)*0.05+MAX(0,MIN(A22,1500000)-925000)*0.1+MAX(0,A22-1500000)*0.12))),(MAX(0,MIN(A22,250000)-125000)*0.02+MAX(0,MIN(A22,925000)-250000)*0.05+MAX(0,MIN(A22,1500000)-925000)*0.1+MAX(0,A22-1500000)*0.12)+IF(Inputs!B8="Additional / Investor",0.05*A22,0)+IF(Inputs!B9="Yes",0.02*A22,0))),IF(Inputs!B7="Scotland",((MAX(0,MIN(A22,250000)-145000)*0.02+MAX(0,MIN(A22,325000)-250000)*0.05+MAX(0,MIN(A22,750000)-325000)*0.1+MAX(0,A22-750000)*0.12)-IF(Inputs!B8="First-time buyer",(IF(A22&gt;145000,MIN(600,0.02*(MIN(A22,175000)-145000)),0)),0)+IF(Inputs!B8="Additional / Investor",0.08*A22,0)),IF(Inputs!B7="Wales",(IF(Inputs!B8="Additional / Investor",(MIN(A22,180000)*0.05+MAX(0,MIN(A22,250000)-180000)*0.085+MAX(0,MIN(A22,400000)-250000)*0.1+MAX(0,MIN(A22,750000)-400000)*0.125+MAX(0,MIN(A22,1500000)-750000)*0.15+MAX(0,A22-1500000)*0.17),(MAX(0,MIN(A22,400000)-225000)*0.06+MAX(0,MIN(A22,750000)-400000)*0.075+MAX(0,MIN(A22,1500000)-750000)*0.1+MAX(0,A22-1500000)*0.12))),0)))))+(Inputs!B14+Inputs!B15+Inputs!B16+Inputs!B17)+(Summary!B14)+(Summary!B15)+(((((A22)*Inputs!B20)+(IF(Inputs!B24="Yes",(Summary!B14)*Inputs!B25,0))*Inputs!B26)*Inputs!B21*Inputs!B10/12)+((((A22)*Inputs!B20)+(IF(Inputs!B24="Yes",(Summary!B14)*Inputs!B25,0)))*Inputs!B22)+((((A22)*Inputs!B20)+(IF(Inputs!B24="Yes",(Summary!B14)*Inputs!B25,0)))*Inputs!B23))+(Summary!B17)))</f>
        <v>108587.5</v>
      </c>
      <c r="C22" t="str">
        <f t="shared" si="0"/>
        <v/>
      </c>
    </row>
    <row r="23" spans="1:3" x14ac:dyDescent="0.2">
      <c r="A23" s="16">
        <f>$B$5+(12)*$B$7</f>
        <v>160000</v>
      </c>
      <c r="B23" s="16">
        <f>IF(A23&gt;$B$6,"",(Inputs!B6)-((A23)+(IF(Inputs!D13&lt;&gt;"",Inputs!D13,IF(Inputs!B7="England &amp; N. Ireland",(IF(Inputs!B8="First-time buyer",(IF(A23&lt;=500000,MAX(0,A23-300000)*0.05,(MAX(0,MIN(A23,250000)-125000)*0.02+MAX(0,MIN(A23,925000)-250000)*0.05+MAX(0,MIN(A23,1500000)-925000)*0.1+MAX(0,A23-1500000)*0.12))),(MAX(0,MIN(A23,250000)-125000)*0.02+MAX(0,MIN(A23,925000)-250000)*0.05+MAX(0,MIN(A23,1500000)-925000)*0.1+MAX(0,A23-1500000)*0.12)+IF(Inputs!B8="Additional / Investor",0.05*A23,0)+IF(Inputs!B9="Yes",0.02*A23,0))),IF(Inputs!B7="Scotland",((MAX(0,MIN(A23,250000)-145000)*0.02+MAX(0,MIN(A23,325000)-250000)*0.05+MAX(0,MIN(A23,750000)-325000)*0.1+MAX(0,A23-750000)*0.12)-IF(Inputs!B8="First-time buyer",(IF(A23&gt;145000,MIN(600,0.02*(MIN(A23,175000)-145000)),0)),0)+IF(Inputs!B8="Additional / Investor",0.08*A23,0)),IF(Inputs!B7="Wales",(IF(Inputs!B8="Additional / Investor",(MIN(A23,180000)*0.05+MAX(0,MIN(A23,250000)-180000)*0.085+MAX(0,MIN(A23,400000)-250000)*0.1+MAX(0,MIN(A23,750000)-400000)*0.125+MAX(0,MIN(A23,1500000)-750000)*0.15+MAX(0,A23-1500000)*0.17),(MAX(0,MIN(A23,400000)-225000)*0.06+MAX(0,MIN(A23,750000)-400000)*0.075+MAX(0,MIN(A23,1500000)-750000)*0.1+MAX(0,A23-1500000)*0.12))),0)))))+(Inputs!B14+Inputs!B15+Inputs!B16+Inputs!B17)+(Summary!B14)+(Summary!B15)+(((((A23)*Inputs!B20)+(IF(Inputs!B24="Yes",(Summary!B14)*Inputs!B25,0))*Inputs!B26)*Inputs!B21*Inputs!B10/12)+((((A23)*Inputs!B20)+(IF(Inputs!B24="Yes",(Summary!B14)*Inputs!B25,0)))*Inputs!B22)+((((A23)*Inputs!B20)+(IF(Inputs!B24="Yes",(Summary!B14)*Inputs!B25,0)))*Inputs!B23))+(Summary!B17)))</f>
        <v>102900</v>
      </c>
      <c r="C23" t="str">
        <f t="shared" si="0"/>
        <v/>
      </c>
    </row>
    <row r="24" spans="1:3" x14ac:dyDescent="0.2">
      <c r="A24" s="16">
        <f>$B$5+(13)*$B$7</f>
        <v>165000</v>
      </c>
      <c r="B24" s="16">
        <f>IF(A24&gt;$B$6,"",(Inputs!B6)-((A24)+(IF(Inputs!D13&lt;&gt;"",Inputs!D13,IF(Inputs!B7="England &amp; N. Ireland",(IF(Inputs!B8="First-time buyer",(IF(A24&lt;=500000,MAX(0,A24-300000)*0.05,(MAX(0,MIN(A24,250000)-125000)*0.02+MAX(0,MIN(A24,925000)-250000)*0.05+MAX(0,MIN(A24,1500000)-925000)*0.1+MAX(0,A24-1500000)*0.12))),(MAX(0,MIN(A24,250000)-125000)*0.02+MAX(0,MIN(A24,925000)-250000)*0.05+MAX(0,MIN(A24,1500000)-925000)*0.1+MAX(0,A24-1500000)*0.12)+IF(Inputs!B8="Additional / Investor",0.05*A24,0)+IF(Inputs!B9="Yes",0.02*A24,0))),IF(Inputs!B7="Scotland",((MAX(0,MIN(A24,250000)-145000)*0.02+MAX(0,MIN(A24,325000)-250000)*0.05+MAX(0,MIN(A24,750000)-325000)*0.1+MAX(0,A24-750000)*0.12)-IF(Inputs!B8="First-time buyer",(IF(A24&gt;145000,MIN(600,0.02*(MIN(A24,175000)-145000)),0)),0)+IF(Inputs!B8="Additional / Investor",0.08*A24,0)),IF(Inputs!B7="Wales",(IF(Inputs!B8="Additional / Investor",(MIN(A24,180000)*0.05+MAX(0,MIN(A24,250000)-180000)*0.085+MAX(0,MIN(A24,400000)-250000)*0.1+MAX(0,MIN(A24,750000)-400000)*0.125+MAX(0,MIN(A24,1500000)-750000)*0.15+MAX(0,A24-1500000)*0.17),(MAX(0,MIN(A24,400000)-225000)*0.06+MAX(0,MIN(A24,750000)-400000)*0.075+MAX(0,MIN(A24,1500000)-750000)*0.1+MAX(0,A24-1500000)*0.12))),0)))))+(Inputs!B14+Inputs!B15+Inputs!B16+Inputs!B17)+(Summary!B14)+(Summary!B15)+(((((A24)*Inputs!B20)+(IF(Inputs!B24="Yes",(Summary!B14)*Inputs!B25,0))*Inputs!B26)*Inputs!B21*Inputs!B10/12)+((((A24)*Inputs!B20)+(IF(Inputs!B24="Yes",(Summary!B14)*Inputs!B25,0)))*Inputs!B22)+((((A24)*Inputs!B20)+(IF(Inputs!B24="Yes",(Summary!B14)*Inputs!B25,0)))*Inputs!B23))+(Summary!B17)))</f>
        <v>97212.5</v>
      </c>
      <c r="C24" t="str">
        <f t="shared" si="0"/>
        <v/>
      </c>
    </row>
    <row r="25" spans="1:3" x14ac:dyDescent="0.2">
      <c r="A25" s="16">
        <f>$B$5+(14)*$B$7</f>
        <v>170000</v>
      </c>
      <c r="B25" s="16">
        <f>IF(A25&gt;$B$6,"",(Inputs!B6)-((A25)+(IF(Inputs!D13&lt;&gt;"",Inputs!D13,IF(Inputs!B7="England &amp; N. Ireland",(IF(Inputs!B8="First-time buyer",(IF(A25&lt;=500000,MAX(0,A25-300000)*0.05,(MAX(0,MIN(A25,250000)-125000)*0.02+MAX(0,MIN(A25,925000)-250000)*0.05+MAX(0,MIN(A25,1500000)-925000)*0.1+MAX(0,A25-1500000)*0.12))),(MAX(0,MIN(A25,250000)-125000)*0.02+MAX(0,MIN(A25,925000)-250000)*0.05+MAX(0,MIN(A25,1500000)-925000)*0.1+MAX(0,A25-1500000)*0.12)+IF(Inputs!B8="Additional / Investor",0.05*A25,0)+IF(Inputs!B9="Yes",0.02*A25,0))),IF(Inputs!B7="Scotland",((MAX(0,MIN(A25,250000)-145000)*0.02+MAX(0,MIN(A25,325000)-250000)*0.05+MAX(0,MIN(A25,750000)-325000)*0.1+MAX(0,A25-750000)*0.12)-IF(Inputs!B8="First-time buyer",(IF(A25&gt;145000,MIN(600,0.02*(MIN(A25,175000)-145000)),0)),0)+IF(Inputs!B8="Additional / Investor",0.08*A25,0)),IF(Inputs!B7="Wales",(IF(Inputs!B8="Additional / Investor",(MIN(A25,180000)*0.05+MAX(0,MIN(A25,250000)-180000)*0.085+MAX(0,MIN(A25,400000)-250000)*0.1+MAX(0,MIN(A25,750000)-400000)*0.125+MAX(0,MIN(A25,1500000)-750000)*0.15+MAX(0,A25-1500000)*0.17),(MAX(0,MIN(A25,400000)-225000)*0.06+MAX(0,MIN(A25,750000)-400000)*0.075+MAX(0,MIN(A25,1500000)-750000)*0.1+MAX(0,A25-1500000)*0.12))),0)))))+(Inputs!B14+Inputs!B15+Inputs!B16+Inputs!B17)+(Summary!B14)+(Summary!B15)+(((((A25)*Inputs!B20)+(IF(Inputs!B24="Yes",(Summary!B14)*Inputs!B25,0))*Inputs!B26)*Inputs!B21*Inputs!B10/12)+((((A25)*Inputs!B20)+(IF(Inputs!B24="Yes",(Summary!B14)*Inputs!B25,0)))*Inputs!B22)+((((A25)*Inputs!B20)+(IF(Inputs!B24="Yes",(Summary!B14)*Inputs!B25,0)))*Inputs!B23))+(Summary!B17)))</f>
        <v>91525</v>
      </c>
      <c r="C25" t="str">
        <f t="shared" si="0"/>
        <v/>
      </c>
    </row>
    <row r="26" spans="1:3" x14ac:dyDescent="0.2">
      <c r="A26" s="16">
        <f>$B$5+(15)*$B$7</f>
        <v>175000</v>
      </c>
      <c r="B26" s="16">
        <f>IF(A26&gt;$B$6,"",(Inputs!B6)-((A26)+(IF(Inputs!D13&lt;&gt;"",Inputs!D13,IF(Inputs!B7="England &amp; N. Ireland",(IF(Inputs!B8="First-time buyer",(IF(A26&lt;=500000,MAX(0,A26-300000)*0.05,(MAX(0,MIN(A26,250000)-125000)*0.02+MAX(0,MIN(A26,925000)-250000)*0.05+MAX(0,MIN(A26,1500000)-925000)*0.1+MAX(0,A26-1500000)*0.12))),(MAX(0,MIN(A26,250000)-125000)*0.02+MAX(0,MIN(A26,925000)-250000)*0.05+MAX(0,MIN(A26,1500000)-925000)*0.1+MAX(0,A26-1500000)*0.12)+IF(Inputs!B8="Additional / Investor",0.05*A26,0)+IF(Inputs!B9="Yes",0.02*A26,0))),IF(Inputs!B7="Scotland",((MAX(0,MIN(A26,250000)-145000)*0.02+MAX(0,MIN(A26,325000)-250000)*0.05+MAX(0,MIN(A26,750000)-325000)*0.1+MAX(0,A26-750000)*0.12)-IF(Inputs!B8="First-time buyer",(IF(A26&gt;145000,MIN(600,0.02*(MIN(A26,175000)-145000)),0)),0)+IF(Inputs!B8="Additional / Investor",0.08*A26,0)),IF(Inputs!B7="Wales",(IF(Inputs!B8="Additional / Investor",(MIN(A26,180000)*0.05+MAX(0,MIN(A26,250000)-180000)*0.085+MAX(0,MIN(A26,400000)-250000)*0.1+MAX(0,MIN(A26,750000)-400000)*0.125+MAX(0,MIN(A26,1500000)-750000)*0.15+MAX(0,A26-1500000)*0.17),(MAX(0,MIN(A26,400000)-225000)*0.06+MAX(0,MIN(A26,750000)-400000)*0.075+MAX(0,MIN(A26,1500000)-750000)*0.1+MAX(0,A26-1500000)*0.12))),0)))))+(Inputs!B14+Inputs!B15+Inputs!B16+Inputs!B17)+(Summary!B14)+(Summary!B15)+(((((A26)*Inputs!B20)+(IF(Inputs!B24="Yes",(Summary!B14)*Inputs!B25,0))*Inputs!B26)*Inputs!B21*Inputs!B10/12)+((((A26)*Inputs!B20)+(IF(Inputs!B24="Yes",(Summary!B14)*Inputs!B25,0)))*Inputs!B22)+((((A26)*Inputs!B20)+(IF(Inputs!B24="Yes",(Summary!B14)*Inputs!B25,0)))*Inputs!B23))+(Summary!B17)))</f>
        <v>85837.5</v>
      </c>
      <c r="C26" t="str">
        <f t="shared" si="0"/>
        <v/>
      </c>
    </row>
    <row r="27" spans="1:3" x14ac:dyDescent="0.2">
      <c r="A27" s="16">
        <f>$B$5+(16)*$B$7</f>
        <v>180000</v>
      </c>
      <c r="B27" s="16">
        <f>IF(A27&gt;$B$6,"",(Inputs!B6)-((A27)+(IF(Inputs!D13&lt;&gt;"",Inputs!D13,IF(Inputs!B7="England &amp; N. Ireland",(IF(Inputs!B8="First-time buyer",(IF(A27&lt;=500000,MAX(0,A27-300000)*0.05,(MAX(0,MIN(A27,250000)-125000)*0.02+MAX(0,MIN(A27,925000)-250000)*0.05+MAX(0,MIN(A27,1500000)-925000)*0.1+MAX(0,A27-1500000)*0.12))),(MAX(0,MIN(A27,250000)-125000)*0.02+MAX(0,MIN(A27,925000)-250000)*0.05+MAX(0,MIN(A27,1500000)-925000)*0.1+MAX(0,A27-1500000)*0.12)+IF(Inputs!B8="Additional / Investor",0.05*A27,0)+IF(Inputs!B9="Yes",0.02*A27,0))),IF(Inputs!B7="Scotland",((MAX(0,MIN(A27,250000)-145000)*0.02+MAX(0,MIN(A27,325000)-250000)*0.05+MAX(0,MIN(A27,750000)-325000)*0.1+MAX(0,A27-750000)*0.12)-IF(Inputs!B8="First-time buyer",(IF(A27&gt;145000,MIN(600,0.02*(MIN(A27,175000)-145000)),0)),0)+IF(Inputs!B8="Additional / Investor",0.08*A27,0)),IF(Inputs!B7="Wales",(IF(Inputs!B8="Additional / Investor",(MIN(A27,180000)*0.05+MAX(0,MIN(A27,250000)-180000)*0.085+MAX(0,MIN(A27,400000)-250000)*0.1+MAX(0,MIN(A27,750000)-400000)*0.125+MAX(0,MIN(A27,1500000)-750000)*0.15+MAX(0,A27-1500000)*0.17),(MAX(0,MIN(A27,400000)-225000)*0.06+MAX(0,MIN(A27,750000)-400000)*0.075+MAX(0,MIN(A27,1500000)-750000)*0.1+MAX(0,A27-1500000)*0.12))),0)))))+(Inputs!B14+Inputs!B15+Inputs!B16+Inputs!B17)+(Summary!B14)+(Summary!B15)+(((((A27)*Inputs!B20)+(IF(Inputs!B24="Yes",(Summary!B14)*Inputs!B25,0))*Inputs!B26)*Inputs!B21*Inputs!B10/12)+((((A27)*Inputs!B20)+(IF(Inputs!B24="Yes",(Summary!B14)*Inputs!B25,0)))*Inputs!B22)+((((A27)*Inputs!B20)+(IF(Inputs!B24="Yes",(Summary!B14)*Inputs!B25,0)))*Inputs!B23))+(Summary!B17)))</f>
        <v>80150</v>
      </c>
      <c r="C27" t="str">
        <f t="shared" si="0"/>
        <v/>
      </c>
    </row>
    <row r="28" spans="1:3" x14ac:dyDescent="0.2">
      <c r="A28" s="16">
        <f>$B$5+(17)*$B$7</f>
        <v>185000</v>
      </c>
      <c r="B28" s="16">
        <f>IF(A28&gt;$B$6,"",(Inputs!B6)-((A28)+(IF(Inputs!D13&lt;&gt;"",Inputs!D13,IF(Inputs!B7="England &amp; N. Ireland",(IF(Inputs!B8="First-time buyer",(IF(A28&lt;=500000,MAX(0,A28-300000)*0.05,(MAX(0,MIN(A28,250000)-125000)*0.02+MAX(0,MIN(A28,925000)-250000)*0.05+MAX(0,MIN(A28,1500000)-925000)*0.1+MAX(0,A28-1500000)*0.12))),(MAX(0,MIN(A28,250000)-125000)*0.02+MAX(0,MIN(A28,925000)-250000)*0.05+MAX(0,MIN(A28,1500000)-925000)*0.1+MAX(0,A28-1500000)*0.12)+IF(Inputs!B8="Additional / Investor",0.05*A28,0)+IF(Inputs!B9="Yes",0.02*A28,0))),IF(Inputs!B7="Scotland",((MAX(0,MIN(A28,250000)-145000)*0.02+MAX(0,MIN(A28,325000)-250000)*0.05+MAX(0,MIN(A28,750000)-325000)*0.1+MAX(0,A28-750000)*0.12)-IF(Inputs!B8="First-time buyer",(IF(A28&gt;145000,MIN(600,0.02*(MIN(A28,175000)-145000)),0)),0)+IF(Inputs!B8="Additional / Investor",0.08*A28,0)),IF(Inputs!B7="Wales",(IF(Inputs!B8="Additional / Investor",(MIN(A28,180000)*0.05+MAX(0,MIN(A28,250000)-180000)*0.085+MAX(0,MIN(A28,400000)-250000)*0.1+MAX(0,MIN(A28,750000)-400000)*0.125+MAX(0,MIN(A28,1500000)-750000)*0.15+MAX(0,A28-1500000)*0.17),(MAX(0,MIN(A28,400000)-225000)*0.06+MAX(0,MIN(A28,750000)-400000)*0.075+MAX(0,MIN(A28,1500000)-750000)*0.1+MAX(0,A28-1500000)*0.12))),0)))))+(Inputs!B14+Inputs!B15+Inputs!B16+Inputs!B17)+(Summary!B14)+(Summary!B15)+(((((A28)*Inputs!B20)+(IF(Inputs!B24="Yes",(Summary!B14)*Inputs!B25,0))*Inputs!B26)*Inputs!B21*Inputs!B10/12)+((((A28)*Inputs!B20)+(IF(Inputs!B24="Yes",(Summary!B14)*Inputs!B25,0)))*Inputs!B22)+((((A28)*Inputs!B20)+(IF(Inputs!B24="Yes",(Summary!B14)*Inputs!B25,0)))*Inputs!B23))+(Summary!B17)))</f>
        <v>74462.5</v>
      </c>
      <c r="C28" t="str">
        <f t="shared" si="0"/>
        <v/>
      </c>
    </row>
    <row r="29" spans="1:3" x14ac:dyDescent="0.2">
      <c r="A29" s="16">
        <f>$B$5+(18)*$B$7</f>
        <v>190000</v>
      </c>
      <c r="B29" s="16">
        <f>IF(A29&gt;$B$6,"",(Inputs!B6)-((A29)+(IF(Inputs!D13&lt;&gt;"",Inputs!D13,IF(Inputs!B7="England &amp; N. Ireland",(IF(Inputs!B8="First-time buyer",(IF(A29&lt;=500000,MAX(0,A29-300000)*0.05,(MAX(0,MIN(A29,250000)-125000)*0.02+MAX(0,MIN(A29,925000)-250000)*0.05+MAX(0,MIN(A29,1500000)-925000)*0.1+MAX(0,A29-1500000)*0.12))),(MAX(0,MIN(A29,250000)-125000)*0.02+MAX(0,MIN(A29,925000)-250000)*0.05+MAX(0,MIN(A29,1500000)-925000)*0.1+MAX(0,A29-1500000)*0.12)+IF(Inputs!B8="Additional / Investor",0.05*A29,0)+IF(Inputs!B9="Yes",0.02*A29,0))),IF(Inputs!B7="Scotland",((MAX(0,MIN(A29,250000)-145000)*0.02+MAX(0,MIN(A29,325000)-250000)*0.05+MAX(0,MIN(A29,750000)-325000)*0.1+MAX(0,A29-750000)*0.12)-IF(Inputs!B8="First-time buyer",(IF(A29&gt;145000,MIN(600,0.02*(MIN(A29,175000)-145000)),0)),0)+IF(Inputs!B8="Additional / Investor",0.08*A29,0)),IF(Inputs!B7="Wales",(IF(Inputs!B8="Additional / Investor",(MIN(A29,180000)*0.05+MAX(0,MIN(A29,250000)-180000)*0.085+MAX(0,MIN(A29,400000)-250000)*0.1+MAX(0,MIN(A29,750000)-400000)*0.125+MAX(0,MIN(A29,1500000)-750000)*0.15+MAX(0,A29-1500000)*0.17),(MAX(0,MIN(A29,400000)-225000)*0.06+MAX(0,MIN(A29,750000)-400000)*0.075+MAX(0,MIN(A29,1500000)-750000)*0.1+MAX(0,A29-1500000)*0.12))),0)))))+(Inputs!B14+Inputs!B15+Inputs!B16+Inputs!B17)+(Summary!B14)+(Summary!B15)+(((((A29)*Inputs!B20)+(IF(Inputs!B24="Yes",(Summary!B14)*Inputs!B25,0))*Inputs!B26)*Inputs!B21*Inputs!B10/12)+((((A29)*Inputs!B20)+(IF(Inputs!B24="Yes",(Summary!B14)*Inputs!B25,0)))*Inputs!B22)+((((A29)*Inputs!B20)+(IF(Inputs!B24="Yes",(Summary!B14)*Inputs!B25,0)))*Inputs!B23))+(Summary!B17)))</f>
        <v>68775</v>
      </c>
      <c r="C29" t="str">
        <f t="shared" si="0"/>
        <v/>
      </c>
    </row>
    <row r="30" spans="1:3" x14ac:dyDescent="0.2">
      <c r="A30" s="16">
        <f>$B$5+(19)*$B$7</f>
        <v>195000</v>
      </c>
      <c r="B30" s="16">
        <f>IF(A30&gt;$B$6,"",(Inputs!B6)-((A30)+(IF(Inputs!D13&lt;&gt;"",Inputs!D13,IF(Inputs!B7="England &amp; N. Ireland",(IF(Inputs!B8="First-time buyer",(IF(A30&lt;=500000,MAX(0,A30-300000)*0.05,(MAX(0,MIN(A30,250000)-125000)*0.02+MAX(0,MIN(A30,925000)-250000)*0.05+MAX(0,MIN(A30,1500000)-925000)*0.1+MAX(0,A30-1500000)*0.12))),(MAX(0,MIN(A30,250000)-125000)*0.02+MAX(0,MIN(A30,925000)-250000)*0.05+MAX(0,MIN(A30,1500000)-925000)*0.1+MAX(0,A30-1500000)*0.12)+IF(Inputs!B8="Additional / Investor",0.05*A30,0)+IF(Inputs!B9="Yes",0.02*A30,0))),IF(Inputs!B7="Scotland",((MAX(0,MIN(A30,250000)-145000)*0.02+MAX(0,MIN(A30,325000)-250000)*0.05+MAX(0,MIN(A30,750000)-325000)*0.1+MAX(0,A30-750000)*0.12)-IF(Inputs!B8="First-time buyer",(IF(A30&gt;145000,MIN(600,0.02*(MIN(A30,175000)-145000)),0)),0)+IF(Inputs!B8="Additional / Investor",0.08*A30,0)),IF(Inputs!B7="Wales",(IF(Inputs!B8="Additional / Investor",(MIN(A30,180000)*0.05+MAX(0,MIN(A30,250000)-180000)*0.085+MAX(0,MIN(A30,400000)-250000)*0.1+MAX(0,MIN(A30,750000)-400000)*0.125+MAX(0,MIN(A30,1500000)-750000)*0.15+MAX(0,A30-1500000)*0.17),(MAX(0,MIN(A30,400000)-225000)*0.06+MAX(0,MIN(A30,750000)-400000)*0.075+MAX(0,MIN(A30,1500000)-750000)*0.1+MAX(0,A30-1500000)*0.12))),0)))))+(Inputs!B14+Inputs!B15+Inputs!B16+Inputs!B17)+(Summary!B14)+(Summary!B15)+(((((A30)*Inputs!B20)+(IF(Inputs!B24="Yes",(Summary!B14)*Inputs!B25,0))*Inputs!B26)*Inputs!B21*Inputs!B10/12)+((((A30)*Inputs!B20)+(IF(Inputs!B24="Yes",(Summary!B14)*Inputs!B25,0)))*Inputs!B22)+((((A30)*Inputs!B20)+(IF(Inputs!B24="Yes",(Summary!B14)*Inputs!B25,0)))*Inputs!B23))+(Summary!B17)))</f>
        <v>63087.5</v>
      </c>
      <c r="C30" t="str">
        <f t="shared" si="0"/>
        <v/>
      </c>
    </row>
    <row r="31" spans="1:3" x14ac:dyDescent="0.2">
      <c r="A31" s="16">
        <f>$B$5+(20)*$B$7</f>
        <v>200000</v>
      </c>
      <c r="B31" s="16">
        <f>IF(A31&gt;$B$6,"",(Inputs!B6)-((A31)+(IF(Inputs!D13&lt;&gt;"",Inputs!D13,IF(Inputs!B7="England &amp; N. Ireland",(IF(Inputs!B8="First-time buyer",(IF(A31&lt;=500000,MAX(0,A31-300000)*0.05,(MAX(0,MIN(A31,250000)-125000)*0.02+MAX(0,MIN(A31,925000)-250000)*0.05+MAX(0,MIN(A31,1500000)-925000)*0.1+MAX(0,A31-1500000)*0.12))),(MAX(0,MIN(A31,250000)-125000)*0.02+MAX(0,MIN(A31,925000)-250000)*0.05+MAX(0,MIN(A31,1500000)-925000)*0.1+MAX(0,A31-1500000)*0.12)+IF(Inputs!B8="Additional / Investor",0.05*A31,0)+IF(Inputs!B9="Yes",0.02*A31,0))),IF(Inputs!B7="Scotland",((MAX(0,MIN(A31,250000)-145000)*0.02+MAX(0,MIN(A31,325000)-250000)*0.05+MAX(0,MIN(A31,750000)-325000)*0.1+MAX(0,A31-750000)*0.12)-IF(Inputs!B8="First-time buyer",(IF(A31&gt;145000,MIN(600,0.02*(MIN(A31,175000)-145000)),0)),0)+IF(Inputs!B8="Additional / Investor",0.08*A31,0)),IF(Inputs!B7="Wales",(IF(Inputs!B8="Additional / Investor",(MIN(A31,180000)*0.05+MAX(0,MIN(A31,250000)-180000)*0.085+MAX(0,MIN(A31,400000)-250000)*0.1+MAX(0,MIN(A31,750000)-400000)*0.125+MAX(0,MIN(A31,1500000)-750000)*0.15+MAX(0,A31-1500000)*0.17),(MAX(0,MIN(A31,400000)-225000)*0.06+MAX(0,MIN(A31,750000)-400000)*0.075+MAX(0,MIN(A31,1500000)-750000)*0.1+MAX(0,A31-1500000)*0.12))),0)))))+(Inputs!B14+Inputs!B15+Inputs!B16+Inputs!B17)+(Summary!B14)+(Summary!B15)+(((((A31)*Inputs!B20)+(IF(Inputs!B24="Yes",(Summary!B14)*Inputs!B25,0))*Inputs!B26)*Inputs!B21*Inputs!B10/12)+((((A31)*Inputs!B20)+(IF(Inputs!B24="Yes",(Summary!B14)*Inputs!B25,0)))*Inputs!B22)+((((A31)*Inputs!B20)+(IF(Inputs!B24="Yes",(Summary!B14)*Inputs!B25,0)))*Inputs!B23))+(Summary!B17)))</f>
        <v>57400</v>
      </c>
      <c r="C31" t="str">
        <f t="shared" si="0"/>
        <v/>
      </c>
    </row>
    <row r="32" spans="1:3" x14ac:dyDescent="0.2">
      <c r="A32" s="16">
        <f>$B$5+(21)*$B$7</f>
        <v>205000</v>
      </c>
      <c r="B32" s="16">
        <f>IF(A32&gt;$B$6,"",(Inputs!B6)-((A32)+(IF(Inputs!D13&lt;&gt;"",Inputs!D13,IF(Inputs!B7="England &amp; N. Ireland",(IF(Inputs!B8="First-time buyer",(IF(A32&lt;=500000,MAX(0,A32-300000)*0.05,(MAX(0,MIN(A32,250000)-125000)*0.02+MAX(0,MIN(A32,925000)-250000)*0.05+MAX(0,MIN(A32,1500000)-925000)*0.1+MAX(0,A32-1500000)*0.12))),(MAX(0,MIN(A32,250000)-125000)*0.02+MAX(0,MIN(A32,925000)-250000)*0.05+MAX(0,MIN(A32,1500000)-925000)*0.1+MAX(0,A32-1500000)*0.12)+IF(Inputs!B8="Additional / Investor",0.05*A32,0)+IF(Inputs!B9="Yes",0.02*A32,0))),IF(Inputs!B7="Scotland",((MAX(0,MIN(A32,250000)-145000)*0.02+MAX(0,MIN(A32,325000)-250000)*0.05+MAX(0,MIN(A32,750000)-325000)*0.1+MAX(0,A32-750000)*0.12)-IF(Inputs!B8="First-time buyer",(IF(A32&gt;145000,MIN(600,0.02*(MIN(A32,175000)-145000)),0)),0)+IF(Inputs!B8="Additional / Investor",0.08*A32,0)),IF(Inputs!B7="Wales",(IF(Inputs!B8="Additional / Investor",(MIN(A32,180000)*0.05+MAX(0,MIN(A32,250000)-180000)*0.085+MAX(0,MIN(A32,400000)-250000)*0.1+MAX(0,MIN(A32,750000)-400000)*0.125+MAX(0,MIN(A32,1500000)-750000)*0.15+MAX(0,A32-1500000)*0.17),(MAX(0,MIN(A32,400000)-225000)*0.06+MAX(0,MIN(A32,750000)-400000)*0.075+MAX(0,MIN(A32,1500000)-750000)*0.1+MAX(0,A32-1500000)*0.12))),0)))))+(Inputs!B14+Inputs!B15+Inputs!B16+Inputs!B17)+(Summary!B14)+(Summary!B15)+(((((A32)*Inputs!B20)+(IF(Inputs!B24="Yes",(Summary!B14)*Inputs!B25,0))*Inputs!B26)*Inputs!B21*Inputs!B10/12)+((((A32)*Inputs!B20)+(IF(Inputs!B24="Yes",(Summary!B14)*Inputs!B25,0)))*Inputs!B22)+((((A32)*Inputs!B20)+(IF(Inputs!B24="Yes",(Summary!B14)*Inputs!B25,0)))*Inputs!B23))+(Summary!B17)))</f>
        <v>51712.5</v>
      </c>
      <c r="C32" t="str">
        <f t="shared" si="0"/>
        <v/>
      </c>
    </row>
    <row r="33" spans="1:3" x14ac:dyDescent="0.2">
      <c r="A33" s="16">
        <f>$B$5+(22)*$B$7</f>
        <v>210000</v>
      </c>
      <c r="B33" s="16">
        <f>IF(A33&gt;$B$6,"",(Inputs!B6)-((A33)+(IF(Inputs!D13&lt;&gt;"",Inputs!D13,IF(Inputs!B7="England &amp; N. Ireland",(IF(Inputs!B8="First-time buyer",(IF(A33&lt;=500000,MAX(0,A33-300000)*0.05,(MAX(0,MIN(A33,250000)-125000)*0.02+MAX(0,MIN(A33,925000)-250000)*0.05+MAX(0,MIN(A33,1500000)-925000)*0.1+MAX(0,A33-1500000)*0.12))),(MAX(0,MIN(A33,250000)-125000)*0.02+MAX(0,MIN(A33,925000)-250000)*0.05+MAX(0,MIN(A33,1500000)-925000)*0.1+MAX(0,A33-1500000)*0.12)+IF(Inputs!B8="Additional / Investor",0.05*A33,0)+IF(Inputs!B9="Yes",0.02*A33,0))),IF(Inputs!B7="Scotland",((MAX(0,MIN(A33,250000)-145000)*0.02+MAX(0,MIN(A33,325000)-250000)*0.05+MAX(0,MIN(A33,750000)-325000)*0.1+MAX(0,A33-750000)*0.12)-IF(Inputs!B8="First-time buyer",(IF(A33&gt;145000,MIN(600,0.02*(MIN(A33,175000)-145000)),0)),0)+IF(Inputs!B8="Additional / Investor",0.08*A33,0)),IF(Inputs!B7="Wales",(IF(Inputs!B8="Additional / Investor",(MIN(A33,180000)*0.05+MAX(0,MIN(A33,250000)-180000)*0.085+MAX(0,MIN(A33,400000)-250000)*0.1+MAX(0,MIN(A33,750000)-400000)*0.125+MAX(0,MIN(A33,1500000)-750000)*0.15+MAX(0,A33-1500000)*0.17),(MAX(0,MIN(A33,400000)-225000)*0.06+MAX(0,MIN(A33,750000)-400000)*0.075+MAX(0,MIN(A33,1500000)-750000)*0.1+MAX(0,A33-1500000)*0.12))),0)))))+(Inputs!B14+Inputs!B15+Inputs!B16+Inputs!B17)+(Summary!B14)+(Summary!B15)+(((((A33)*Inputs!B20)+(IF(Inputs!B24="Yes",(Summary!B14)*Inputs!B25,0))*Inputs!B26)*Inputs!B21*Inputs!B10/12)+((((A33)*Inputs!B20)+(IF(Inputs!B24="Yes",(Summary!B14)*Inputs!B25,0)))*Inputs!B22)+((((A33)*Inputs!B20)+(IF(Inputs!B24="Yes",(Summary!B14)*Inputs!B25,0)))*Inputs!B23))+(Summary!B17)))</f>
        <v>46025</v>
      </c>
      <c r="C33" t="str">
        <f t="shared" si="0"/>
        <v/>
      </c>
    </row>
    <row r="34" spans="1:3" x14ac:dyDescent="0.2">
      <c r="A34" s="16">
        <f>$B$5+(23)*$B$7</f>
        <v>215000</v>
      </c>
      <c r="B34" s="16">
        <f>IF(A34&gt;$B$6,"",(Inputs!B6)-((A34)+(IF(Inputs!D13&lt;&gt;"",Inputs!D13,IF(Inputs!B7="England &amp; N. Ireland",(IF(Inputs!B8="First-time buyer",(IF(A34&lt;=500000,MAX(0,A34-300000)*0.05,(MAX(0,MIN(A34,250000)-125000)*0.02+MAX(0,MIN(A34,925000)-250000)*0.05+MAX(0,MIN(A34,1500000)-925000)*0.1+MAX(0,A34-1500000)*0.12))),(MAX(0,MIN(A34,250000)-125000)*0.02+MAX(0,MIN(A34,925000)-250000)*0.05+MAX(0,MIN(A34,1500000)-925000)*0.1+MAX(0,A34-1500000)*0.12)+IF(Inputs!B8="Additional / Investor",0.05*A34,0)+IF(Inputs!B9="Yes",0.02*A34,0))),IF(Inputs!B7="Scotland",((MAX(0,MIN(A34,250000)-145000)*0.02+MAX(0,MIN(A34,325000)-250000)*0.05+MAX(0,MIN(A34,750000)-325000)*0.1+MAX(0,A34-750000)*0.12)-IF(Inputs!B8="First-time buyer",(IF(A34&gt;145000,MIN(600,0.02*(MIN(A34,175000)-145000)),0)),0)+IF(Inputs!B8="Additional / Investor",0.08*A34,0)),IF(Inputs!B7="Wales",(IF(Inputs!B8="Additional / Investor",(MIN(A34,180000)*0.05+MAX(0,MIN(A34,250000)-180000)*0.085+MAX(0,MIN(A34,400000)-250000)*0.1+MAX(0,MIN(A34,750000)-400000)*0.125+MAX(0,MIN(A34,1500000)-750000)*0.15+MAX(0,A34-1500000)*0.17),(MAX(0,MIN(A34,400000)-225000)*0.06+MAX(0,MIN(A34,750000)-400000)*0.075+MAX(0,MIN(A34,1500000)-750000)*0.1+MAX(0,A34-1500000)*0.12))),0)))))+(Inputs!B14+Inputs!B15+Inputs!B16+Inputs!B17)+(Summary!B14)+(Summary!B15)+(((((A34)*Inputs!B20)+(IF(Inputs!B24="Yes",(Summary!B14)*Inputs!B25,0))*Inputs!B26)*Inputs!B21*Inputs!B10/12)+((((A34)*Inputs!B20)+(IF(Inputs!B24="Yes",(Summary!B14)*Inputs!B25,0)))*Inputs!B22)+((((A34)*Inputs!B20)+(IF(Inputs!B24="Yes",(Summary!B14)*Inputs!B25,0)))*Inputs!B23))+(Summary!B17)))</f>
        <v>40337.5</v>
      </c>
      <c r="C34" t="str">
        <f t="shared" si="0"/>
        <v/>
      </c>
    </row>
    <row r="35" spans="1:3" x14ac:dyDescent="0.2">
      <c r="A35" s="16">
        <f>$B$5+(24)*$B$7</f>
        <v>220000</v>
      </c>
      <c r="B35" s="16">
        <f>IF(A35&gt;$B$6,"",(Inputs!B6)-((A35)+(IF(Inputs!D13&lt;&gt;"",Inputs!D13,IF(Inputs!B7="England &amp; N. Ireland",(IF(Inputs!B8="First-time buyer",(IF(A35&lt;=500000,MAX(0,A35-300000)*0.05,(MAX(0,MIN(A35,250000)-125000)*0.02+MAX(0,MIN(A35,925000)-250000)*0.05+MAX(0,MIN(A35,1500000)-925000)*0.1+MAX(0,A35-1500000)*0.12))),(MAX(0,MIN(A35,250000)-125000)*0.02+MAX(0,MIN(A35,925000)-250000)*0.05+MAX(0,MIN(A35,1500000)-925000)*0.1+MAX(0,A35-1500000)*0.12)+IF(Inputs!B8="Additional / Investor",0.05*A35,0)+IF(Inputs!B9="Yes",0.02*A35,0))),IF(Inputs!B7="Scotland",((MAX(0,MIN(A35,250000)-145000)*0.02+MAX(0,MIN(A35,325000)-250000)*0.05+MAX(0,MIN(A35,750000)-325000)*0.1+MAX(0,A35-750000)*0.12)-IF(Inputs!B8="First-time buyer",(IF(A35&gt;145000,MIN(600,0.02*(MIN(A35,175000)-145000)),0)),0)+IF(Inputs!B8="Additional / Investor",0.08*A35,0)),IF(Inputs!B7="Wales",(IF(Inputs!B8="Additional / Investor",(MIN(A35,180000)*0.05+MAX(0,MIN(A35,250000)-180000)*0.085+MAX(0,MIN(A35,400000)-250000)*0.1+MAX(0,MIN(A35,750000)-400000)*0.125+MAX(0,MIN(A35,1500000)-750000)*0.15+MAX(0,A35-1500000)*0.17),(MAX(0,MIN(A35,400000)-225000)*0.06+MAX(0,MIN(A35,750000)-400000)*0.075+MAX(0,MIN(A35,1500000)-750000)*0.1+MAX(0,A35-1500000)*0.12))),0)))))+(Inputs!B14+Inputs!B15+Inputs!B16+Inputs!B17)+(Summary!B14)+(Summary!B15)+(((((A35)*Inputs!B20)+(IF(Inputs!B24="Yes",(Summary!B14)*Inputs!B25,0))*Inputs!B26)*Inputs!B21*Inputs!B10/12)+((((A35)*Inputs!B20)+(IF(Inputs!B24="Yes",(Summary!B14)*Inputs!B25,0)))*Inputs!B22)+((((A35)*Inputs!B20)+(IF(Inputs!B24="Yes",(Summary!B14)*Inputs!B25,0)))*Inputs!B23))+(Summary!B17)))</f>
        <v>34650</v>
      </c>
      <c r="C35" t="str">
        <f t="shared" si="0"/>
        <v/>
      </c>
    </row>
    <row r="36" spans="1:3" x14ac:dyDescent="0.2">
      <c r="A36" s="16">
        <f>$B$5+(25)*$B$7</f>
        <v>225000</v>
      </c>
      <c r="B36" s="16">
        <f>IF(A36&gt;$B$6,"",(Inputs!B6)-((A36)+(IF(Inputs!D13&lt;&gt;"",Inputs!D13,IF(Inputs!B7="England &amp; N. Ireland",(IF(Inputs!B8="First-time buyer",(IF(A36&lt;=500000,MAX(0,A36-300000)*0.05,(MAX(0,MIN(A36,250000)-125000)*0.02+MAX(0,MIN(A36,925000)-250000)*0.05+MAX(0,MIN(A36,1500000)-925000)*0.1+MAX(0,A36-1500000)*0.12))),(MAX(0,MIN(A36,250000)-125000)*0.02+MAX(0,MIN(A36,925000)-250000)*0.05+MAX(0,MIN(A36,1500000)-925000)*0.1+MAX(0,A36-1500000)*0.12)+IF(Inputs!B8="Additional / Investor",0.05*A36,0)+IF(Inputs!B9="Yes",0.02*A36,0))),IF(Inputs!B7="Scotland",((MAX(0,MIN(A36,250000)-145000)*0.02+MAX(0,MIN(A36,325000)-250000)*0.05+MAX(0,MIN(A36,750000)-325000)*0.1+MAX(0,A36-750000)*0.12)-IF(Inputs!B8="First-time buyer",(IF(A36&gt;145000,MIN(600,0.02*(MIN(A36,175000)-145000)),0)),0)+IF(Inputs!B8="Additional / Investor",0.08*A36,0)),IF(Inputs!B7="Wales",(IF(Inputs!B8="Additional / Investor",(MIN(A36,180000)*0.05+MAX(0,MIN(A36,250000)-180000)*0.085+MAX(0,MIN(A36,400000)-250000)*0.1+MAX(0,MIN(A36,750000)-400000)*0.125+MAX(0,MIN(A36,1500000)-750000)*0.15+MAX(0,A36-1500000)*0.17),(MAX(0,MIN(A36,400000)-225000)*0.06+MAX(0,MIN(A36,750000)-400000)*0.075+MAX(0,MIN(A36,1500000)-750000)*0.1+MAX(0,A36-1500000)*0.12))),0)))))+(Inputs!B14+Inputs!B15+Inputs!B16+Inputs!B17)+(Summary!B14)+(Summary!B15)+(((((A36)*Inputs!B20)+(IF(Inputs!B24="Yes",(Summary!B14)*Inputs!B25,0))*Inputs!B26)*Inputs!B21*Inputs!B10/12)+((((A36)*Inputs!B20)+(IF(Inputs!B24="Yes",(Summary!B14)*Inputs!B25,0)))*Inputs!B22)+((((A36)*Inputs!B20)+(IF(Inputs!B24="Yes",(Summary!B14)*Inputs!B25,0)))*Inputs!B23))+(Summary!B17)))</f>
        <v>28962.5</v>
      </c>
      <c r="C36" t="str">
        <f t="shared" si="0"/>
        <v/>
      </c>
    </row>
    <row r="37" spans="1:3" x14ac:dyDescent="0.2">
      <c r="A37" s="16">
        <f>$B$5+(26)*$B$7</f>
        <v>230000</v>
      </c>
      <c r="B37" s="16">
        <f>IF(A37&gt;$B$6,"",(Inputs!B6)-((A37)+(IF(Inputs!D13&lt;&gt;"",Inputs!D13,IF(Inputs!B7="England &amp; N. Ireland",(IF(Inputs!B8="First-time buyer",(IF(A37&lt;=500000,MAX(0,A37-300000)*0.05,(MAX(0,MIN(A37,250000)-125000)*0.02+MAX(0,MIN(A37,925000)-250000)*0.05+MAX(0,MIN(A37,1500000)-925000)*0.1+MAX(0,A37-1500000)*0.12))),(MAX(0,MIN(A37,250000)-125000)*0.02+MAX(0,MIN(A37,925000)-250000)*0.05+MAX(0,MIN(A37,1500000)-925000)*0.1+MAX(0,A37-1500000)*0.12)+IF(Inputs!B8="Additional / Investor",0.05*A37,0)+IF(Inputs!B9="Yes",0.02*A37,0))),IF(Inputs!B7="Scotland",((MAX(0,MIN(A37,250000)-145000)*0.02+MAX(0,MIN(A37,325000)-250000)*0.05+MAX(0,MIN(A37,750000)-325000)*0.1+MAX(0,A37-750000)*0.12)-IF(Inputs!B8="First-time buyer",(IF(A37&gt;145000,MIN(600,0.02*(MIN(A37,175000)-145000)),0)),0)+IF(Inputs!B8="Additional / Investor",0.08*A37,0)),IF(Inputs!B7="Wales",(IF(Inputs!B8="Additional / Investor",(MIN(A37,180000)*0.05+MAX(0,MIN(A37,250000)-180000)*0.085+MAX(0,MIN(A37,400000)-250000)*0.1+MAX(0,MIN(A37,750000)-400000)*0.125+MAX(0,MIN(A37,1500000)-750000)*0.15+MAX(0,A37-1500000)*0.17),(MAX(0,MIN(A37,400000)-225000)*0.06+MAX(0,MIN(A37,750000)-400000)*0.075+MAX(0,MIN(A37,1500000)-750000)*0.1+MAX(0,A37-1500000)*0.12))),0)))))+(Inputs!B14+Inputs!B15+Inputs!B16+Inputs!B17)+(Summary!B14)+(Summary!B15)+(((((A37)*Inputs!B20)+(IF(Inputs!B24="Yes",(Summary!B14)*Inputs!B25,0))*Inputs!B26)*Inputs!B21*Inputs!B10/12)+((((A37)*Inputs!B20)+(IF(Inputs!B24="Yes",(Summary!B14)*Inputs!B25,0)))*Inputs!B22)+((((A37)*Inputs!B20)+(IF(Inputs!B24="Yes",(Summary!B14)*Inputs!B25,0)))*Inputs!B23))+(Summary!B17)))</f>
        <v>23275</v>
      </c>
      <c r="C37" t="str">
        <f t="shared" si="0"/>
        <v/>
      </c>
    </row>
    <row r="38" spans="1:3" x14ac:dyDescent="0.2">
      <c r="A38" s="16">
        <f>$B$5+(27)*$B$7</f>
        <v>235000</v>
      </c>
      <c r="B38" s="16">
        <f>IF(A38&gt;$B$6,"",(Inputs!B6)-((A38)+(IF(Inputs!D13&lt;&gt;"",Inputs!D13,IF(Inputs!B7="England &amp; N. Ireland",(IF(Inputs!B8="First-time buyer",(IF(A38&lt;=500000,MAX(0,A38-300000)*0.05,(MAX(0,MIN(A38,250000)-125000)*0.02+MAX(0,MIN(A38,925000)-250000)*0.05+MAX(0,MIN(A38,1500000)-925000)*0.1+MAX(0,A38-1500000)*0.12))),(MAX(0,MIN(A38,250000)-125000)*0.02+MAX(0,MIN(A38,925000)-250000)*0.05+MAX(0,MIN(A38,1500000)-925000)*0.1+MAX(0,A38-1500000)*0.12)+IF(Inputs!B8="Additional / Investor",0.05*A38,0)+IF(Inputs!B9="Yes",0.02*A38,0))),IF(Inputs!B7="Scotland",((MAX(0,MIN(A38,250000)-145000)*0.02+MAX(0,MIN(A38,325000)-250000)*0.05+MAX(0,MIN(A38,750000)-325000)*0.1+MAX(0,A38-750000)*0.12)-IF(Inputs!B8="First-time buyer",(IF(A38&gt;145000,MIN(600,0.02*(MIN(A38,175000)-145000)),0)),0)+IF(Inputs!B8="Additional / Investor",0.08*A38,0)),IF(Inputs!B7="Wales",(IF(Inputs!B8="Additional / Investor",(MIN(A38,180000)*0.05+MAX(0,MIN(A38,250000)-180000)*0.085+MAX(0,MIN(A38,400000)-250000)*0.1+MAX(0,MIN(A38,750000)-400000)*0.125+MAX(0,MIN(A38,1500000)-750000)*0.15+MAX(0,A38-1500000)*0.17),(MAX(0,MIN(A38,400000)-225000)*0.06+MAX(0,MIN(A38,750000)-400000)*0.075+MAX(0,MIN(A38,1500000)-750000)*0.1+MAX(0,A38-1500000)*0.12))),0)))))+(Inputs!B14+Inputs!B15+Inputs!B16+Inputs!B17)+(Summary!B14)+(Summary!B15)+(((((A38)*Inputs!B20)+(IF(Inputs!B24="Yes",(Summary!B14)*Inputs!B25,0))*Inputs!B26)*Inputs!B21*Inputs!B10/12)+((((A38)*Inputs!B20)+(IF(Inputs!B24="Yes",(Summary!B14)*Inputs!B25,0)))*Inputs!B22)+((((A38)*Inputs!B20)+(IF(Inputs!B24="Yes",(Summary!B14)*Inputs!B25,0)))*Inputs!B23))+(Summary!B17)))</f>
        <v>17587.5</v>
      </c>
      <c r="C38" t="str">
        <f t="shared" si="0"/>
        <v/>
      </c>
    </row>
    <row r="39" spans="1:3" x14ac:dyDescent="0.2">
      <c r="A39" s="16">
        <f>$B$5+(28)*$B$7</f>
        <v>240000</v>
      </c>
      <c r="B39" s="16">
        <f>IF(A39&gt;$B$6,"",(Inputs!B6)-((A39)+(IF(Inputs!D13&lt;&gt;"",Inputs!D13,IF(Inputs!B7="England &amp; N. Ireland",(IF(Inputs!B8="First-time buyer",(IF(A39&lt;=500000,MAX(0,A39-300000)*0.05,(MAX(0,MIN(A39,250000)-125000)*0.02+MAX(0,MIN(A39,925000)-250000)*0.05+MAX(0,MIN(A39,1500000)-925000)*0.1+MAX(0,A39-1500000)*0.12))),(MAX(0,MIN(A39,250000)-125000)*0.02+MAX(0,MIN(A39,925000)-250000)*0.05+MAX(0,MIN(A39,1500000)-925000)*0.1+MAX(0,A39-1500000)*0.12)+IF(Inputs!B8="Additional / Investor",0.05*A39,0)+IF(Inputs!B9="Yes",0.02*A39,0))),IF(Inputs!B7="Scotland",((MAX(0,MIN(A39,250000)-145000)*0.02+MAX(0,MIN(A39,325000)-250000)*0.05+MAX(0,MIN(A39,750000)-325000)*0.1+MAX(0,A39-750000)*0.12)-IF(Inputs!B8="First-time buyer",(IF(A39&gt;145000,MIN(600,0.02*(MIN(A39,175000)-145000)),0)),0)+IF(Inputs!B8="Additional / Investor",0.08*A39,0)),IF(Inputs!B7="Wales",(IF(Inputs!B8="Additional / Investor",(MIN(A39,180000)*0.05+MAX(0,MIN(A39,250000)-180000)*0.085+MAX(0,MIN(A39,400000)-250000)*0.1+MAX(0,MIN(A39,750000)-400000)*0.125+MAX(0,MIN(A39,1500000)-750000)*0.15+MAX(0,A39-1500000)*0.17),(MAX(0,MIN(A39,400000)-225000)*0.06+MAX(0,MIN(A39,750000)-400000)*0.075+MAX(0,MIN(A39,1500000)-750000)*0.1+MAX(0,A39-1500000)*0.12))),0)))))+(Inputs!B14+Inputs!B15+Inputs!B16+Inputs!B17)+(Summary!B14)+(Summary!B15)+(((((A39)*Inputs!B20)+(IF(Inputs!B24="Yes",(Summary!B14)*Inputs!B25,0))*Inputs!B26)*Inputs!B21*Inputs!B10/12)+((((A39)*Inputs!B20)+(IF(Inputs!B24="Yes",(Summary!B14)*Inputs!B25,0)))*Inputs!B22)+((((A39)*Inputs!B20)+(IF(Inputs!B24="Yes",(Summary!B14)*Inputs!B25,0)))*Inputs!B23))+(Summary!B17)))</f>
        <v>11900</v>
      </c>
      <c r="C39" t="str">
        <f t="shared" si="0"/>
        <v/>
      </c>
    </row>
    <row r="40" spans="1:3" x14ac:dyDescent="0.2">
      <c r="A40" s="16">
        <f>$B$5+(29)*$B$7</f>
        <v>245000</v>
      </c>
      <c r="B40" s="16">
        <f>IF(A40&gt;$B$6,"",(Inputs!B6)-((A40)+(IF(Inputs!D13&lt;&gt;"",Inputs!D13,IF(Inputs!B7="England &amp; N. Ireland",(IF(Inputs!B8="First-time buyer",(IF(A40&lt;=500000,MAX(0,A40-300000)*0.05,(MAX(0,MIN(A40,250000)-125000)*0.02+MAX(0,MIN(A40,925000)-250000)*0.05+MAX(0,MIN(A40,1500000)-925000)*0.1+MAX(0,A40-1500000)*0.12))),(MAX(0,MIN(A40,250000)-125000)*0.02+MAX(0,MIN(A40,925000)-250000)*0.05+MAX(0,MIN(A40,1500000)-925000)*0.1+MAX(0,A40-1500000)*0.12)+IF(Inputs!B8="Additional / Investor",0.05*A40,0)+IF(Inputs!B9="Yes",0.02*A40,0))),IF(Inputs!B7="Scotland",((MAX(0,MIN(A40,250000)-145000)*0.02+MAX(0,MIN(A40,325000)-250000)*0.05+MAX(0,MIN(A40,750000)-325000)*0.1+MAX(0,A40-750000)*0.12)-IF(Inputs!B8="First-time buyer",(IF(A40&gt;145000,MIN(600,0.02*(MIN(A40,175000)-145000)),0)),0)+IF(Inputs!B8="Additional / Investor",0.08*A40,0)),IF(Inputs!B7="Wales",(IF(Inputs!B8="Additional / Investor",(MIN(A40,180000)*0.05+MAX(0,MIN(A40,250000)-180000)*0.085+MAX(0,MIN(A40,400000)-250000)*0.1+MAX(0,MIN(A40,750000)-400000)*0.125+MAX(0,MIN(A40,1500000)-750000)*0.15+MAX(0,A40-1500000)*0.17),(MAX(0,MIN(A40,400000)-225000)*0.06+MAX(0,MIN(A40,750000)-400000)*0.075+MAX(0,MIN(A40,1500000)-750000)*0.1+MAX(0,A40-1500000)*0.12))),0)))))+(Inputs!B14+Inputs!B15+Inputs!B16+Inputs!B17)+(Summary!B14)+(Summary!B15)+(((((A40)*Inputs!B20)+(IF(Inputs!B24="Yes",(Summary!B14)*Inputs!B25,0))*Inputs!B26)*Inputs!B21*Inputs!B10/12)+((((A40)*Inputs!B20)+(IF(Inputs!B24="Yes",(Summary!B14)*Inputs!B25,0)))*Inputs!B22)+((((A40)*Inputs!B20)+(IF(Inputs!B24="Yes",(Summary!B14)*Inputs!B25,0)))*Inputs!B23))+(Summary!B17)))</f>
        <v>6212.5</v>
      </c>
      <c r="C40" t="str">
        <f t="shared" si="0"/>
        <v/>
      </c>
    </row>
    <row r="41" spans="1:3" x14ac:dyDescent="0.2">
      <c r="A41" s="16">
        <f>$B$5+(30)*$B$7</f>
        <v>250000</v>
      </c>
      <c r="B41" s="16">
        <f>IF(A41&gt;$B$6,"",(Inputs!B6)-((A41)+(IF(Inputs!D13&lt;&gt;"",Inputs!D13,IF(Inputs!B7="England &amp; N. Ireland",(IF(Inputs!B8="First-time buyer",(IF(A41&lt;=500000,MAX(0,A41-300000)*0.05,(MAX(0,MIN(A41,250000)-125000)*0.02+MAX(0,MIN(A41,925000)-250000)*0.05+MAX(0,MIN(A41,1500000)-925000)*0.1+MAX(0,A41-1500000)*0.12))),(MAX(0,MIN(A41,250000)-125000)*0.02+MAX(0,MIN(A41,925000)-250000)*0.05+MAX(0,MIN(A41,1500000)-925000)*0.1+MAX(0,A41-1500000)*0.12)+IF(Inputs!B8="Additional / Investor",0.05*A41,0)+IF(Inputs!B9="Yes",0.02*A41,0))),IF(Inputs!B7="Scotland",((MAX(0,MIN(A41,250000)-145000)*0.02+MAX(0,MIN(A41,325000)-250000)*0.05+MAX(0,MIN(A41,750000)-325000)*0.1+MAX(0,A41-750000)*0.12)-IF(Inputs!B8="First-time buyer",(IF(A41&gt;145000,MIN(600,0.02*(MIN(A41,175000)-145000)),0)),0)+IF(Inputs!B8="Additional / Investor",0.08*A41,0)),IF(Inputs!B7="Wales",(IF(Inputs!B8="Additional / Investor",(MIN(A41,180000)*0.05+MAX(0,MIN(A41,250000)-180000)*0.085+MAX(0,MIN(A41,400000)-250000)*0.1+MAX(0,MIN(A41,750000)-400000)*0.125+MAX(0,MIN(A41,1500000)-750000)*0.15+MAX(0,A41-1500000)*0.17),(MAX(0,MIN(A41,400000)-225000)*0.06+MAX(0,MIN(A41,750000)-400000)*0.075+MAX(0,MIN(A41,1500000)-750000)*0.1+MAX(0,A41-1500000)*0.12))),0)))))+(Inputs!B14+Inputs!B15+Inputs!B16+Inputs!B17)+(Summary!B14)+(Summary!B15)+(((((A41)*Inputs!B20)+(IF(Inputs!B24="Yes",(Summary!B14)*Inputs!B25,0))*Inputs!B26)*Inputs!B21*Inputs!B10/12)+((((A41)*Inputs!B20)+(IF(Inputs!B24="Yes",(Summary!B14)*Inputs!B25,0)))*Inputs!B22)+((((A41)*Inputs!B20)+(IF(Inputs!B24="Yes",(Summary!B14)*Inputs!B25,0)))*Inputs!B23))+(Summary!B17)))</f>
        <v>525</v>
      </c>
      <c r="C41" t="str">
        <f t="shared" si="0"/>
        <v/>
      </c>
    </row>
    <row r="42" spans="1:3" x14ac:dyDescent="0.2">
      <c r="A42" s="16">
        <f>$B$5+(31)*$B$7</f>
        <v>255000</v>
      </c>
      <c r="B42" s="16">
        <f>IF(A42&gt;$B$6,"",(Inputs!B6)-((A42)+(IF(Inputs!D13&lt;&gt;"",Inputs!D13,IF(Inputs!B7="England &amp; N. Ireland",(IF(Inputs!B8="First-time buyer",(IF(A42&lt;=500000,MAX(0,A42-300000)*0.05,(MAX(0,MIN(A42,250000)-125000)*0.02+MAX(0,MIN(A42,925000)-250000)*0.05+MAX(0,MIN(A42,1500000)-925000)*0.1+MAX(0,A42-1500000)*0.12))),(MAX(0,MIN(A42,250000)-125000)*0.02+MAX(0,MIN(A42,925000)-250000)*0.05+MAX(0,MIN(A42,1500000)-925000)*0.1+MAX(0,A42-1500000)*0.12)+IF(Inputs!B8="Additional / Investor",0.05*A42,0)+IF(Inputs!B9="Yes",0.02*A42,0))),IF(Inputs!B7="Scotland",((MAX(0,MIN(A42,250000)-145000)*0.02+MAX(0,MIN(A42,325000)-250000)*0.05+MAX(0,MIN(A42,750000)-325000)*0.1+MAX(0,A42-750000)*0.12)-IF(Inputs!B8="First-time buyer",(IF(A42&gt;145000,MIN(600,0.02*(MIN(A42,175000)-145000)),0)),0)+IF(Inputs!B8="Additional / Investor",0.08*A42,0)),IF(Inputs!B7="Wales",(IF(Inputs!B8="Additional / Investor",(MIN(A42,180000)*0.05+MAX(0,MIN(A42,250000)-180000)*0.085+MAX(0,MIN(A42,400000)-250000)*0.1+MAX(0,MIN(A42,750000)-400000)*0.125+MAX(0,MIN(A42,1500000)-750000)*0.15+MAX(0,A42-1500000)*0.17),(MAX(0,MIN(A42,400000)-225000)*0.06+MAX(0,MIN(A42,750000)-400000)*0.075+MAX(0,MIN(A42,1500000)-750000)*0.1+MAX(0,A42-1500000)*0.12))),0)))))+(Inputs!B14+Inputs!B15+Inputs!B16+Inputs!B17)+(Summary!B14)+(Summary!B15)+(((((A42)*Inputs!B20)+(IF(Inputs!B24="Yes",(Summary!B14)*Inputs!B25,0))*Inputs!B26)*Inputs!B21*Inputs!B10/12)+((((A42)*Inputs!B20)+(IF(Inputs!B24="Yes",(Summary!B14)*Inputs!B25,0)))*Inputs!B22)+((((A42)*Inputs!B20)+(IF(Inputs!B24="Yes",(Summary!B14)*Inputs!B25,0)))*Inputs!B23))+(Summary!B17)))</f>
        <v>-5312.5</v>
      </c>
      <c r="C42" t="str">
        <f t="shared" si="0"/>
        <v/>
      </c>
    </row>
    <row r="43" spans="1:3" x14ac:dyDescent="0.2">
      <c r="A43" s="16">
        <f>$B$5+(32)*$B$7</f>
        <v>260000</v>
      </c>
      <c r="B43" s="16">
        <f>IF(A43&gt;$B$6,"",(Inputs!B6)-((A43)+(IF(Inputs!D13&lt;&gt;"",Inputs!D13,IF(Inputs!B7="England &amp; N. Ireland",(IF(Inputs!B8="First-time buyer",(IF(A43&lt;=500000,MAX(0,A43-300000)*0.05,(MAX(0,MIN(A43,250000)-125000)*0.02+MAX(0,MIN(A43,925000)-250000)*0.05+MAX(0,MIN(A43,1500000)-925000)*0.1+MAX(0,A43-1500000)*0.12))),(MAX(0,MIN(A43,250000)-125000)*0.02+MAX(0,MIN(A43,925000)-250000)*0.05+MAX(0,MIN(A43,1500000)-925000)*0.1+MAX(0,A43-1500000)*0.12)+IF(Inputs!B8="Additional / Investor",0.05*A43,0)+IF(Inputs!B9="Yes",0.02*A43,0))),IF(Inputs!B7="Scotland",((MAX(0,MIN(A43,250000)-145000)*0.02+MAX(0,MIN(A43,325000)-250000)*0.05+MAX(0,MIN(A43,750000)-325000)*0.1+MAX(0,A43-750000)*0.12)-IF(Inputs!B8="First-time buyer",(IF(A43&gt;145000,MIN(600,0.02*(MIN(A43,175000)-145000)),0)),0)+IF(Inputs!B8="Additional / Investor",0.08*A43,0)),IF(Inputs!B7="Wales",(IF(Inputs!B8="Additional / Investor",(MIN(A43,180000)*0.05+MAX(0,MIN(A43,250000)-180000)*0.085+MAX(0,MIN(A43,400000)-250000)*0.1+MAX(0,MIN(A43,750000)-400000)*0.125+MAX(0,MIN(A43,1500000)-750000)*0.15+MAX(0,A43-1500000)*0.17),(MAX(0,MIN(A43,400000)-225000)*0.06+MAX(0,MIN(A43,750000)-400000)*0.075+MAX(0,MIN(A43,1500000)-750000)*0.1+MAX(0,A43-1500000)*0.12))),0)))))+(Inputs!B14+Inputs!B15+Inputs!B16+Inputs!B17)+(Summary!B14)+(Summary!B15)+(((((A43)*Inputs!B20)+(IF(Inputs!B24="Yes",(Summary!B14)*Inputs!B25,0))*Inputs!B26)*Inputs!B21*Inputs!B10/12)+((((A43)*Inputs!B20)+(IF(Inputs!B24="Yes",(Summary!B14)*Inputs!B25,0)))*Inputs!B22)+((((A43)*Inputs!B20)+(IF(Inputs!B24="Yes",(Summary!B14)*Inputs!B25,0)))*Inputs!B23))+(Summary!B17)))</f>
        <v>-11150</v>
      </c>
      <c r="C43" t="str">
        <f t="shared" ref="C43:C74" si="1">IF(A43&gt;$B$6,"","")</f>
        <v/>
      </c>
    </row>
    <row r="44" spans="1:3" x14ac:dyDescent="0.2">
      <c r="A44" s="16">
        <f>$B$5+(33)*$B$7</f>
        <v>265000</v>
      </c>
      <c r="B44" s="16">
        <f>IF(A44&gt;$B$6,"",(Inputs!B6)-((A44)+(IF(Inputs!D13&lt;&gt;"",Inputs!D13,IF(Inputs!B7="England &amp; N. Ireland",(IF(Inputs!B8="First-time buyer",(IF(A44&lt;=500000,MAX(0,A44-300000)*0.05,(MAX(0,MIN(A44,250000)-125000)*0.02+MAX(0,MIN(A44,925000)-250000)*0.05+MAX(0,MIN(A44,1500000)-925000)*0.1+MAX(0,A44-1500000)*0.12))),(MAX(0,MIN(A44,250000)-125000)*0.02+MAX(0,MIN(A44,925000)-250000)*0.05+MAX(0,MIN(A44,1500000)-925000)*0.1+MAX(0,A44-1500000)*0.12)+IF(Inputs!B8="Additional / Investor",0.05*A44,0)+IF(Inputs!B9="Yes",0.02*A44,0))),IF(Inputs!B7="Scotland",((MAX(0,MIN(A44,250000)-145000)*0.02+MAX(0,MIN(A44,325000)-250000)*0.05+MAX(0,MIN(A44,750000)-325000)*0.1+MAX(0,A44-750000)*0.12)-IF(Inputs!B8="First-time buyer",(IF(A44&gt;145000,MIN(600,0.02*(MIN(A44,175000)-145000)),0)),0)+IF(Inputs!B8="Additional / Investor",0.08*A44,0)),IF(Inputs!B7="Wales",(IF(Inputs!B8="Additional / Investor",(MIN(A44,180000)*0.05+MAX(0,MIN(A44,250000)-180000)*0.085+MAX(0,MIN(A44,400000)-250000)*0.1+MAX(0,MIN(A44,750000)-400000)*0.125+MAX(0,MIN(A44,1500000)-750000)*0.15+MAX(0,A44-1500000)*0.17),(MAX(0,MIN(A44,400000)-225000)*0.06+MAX(0,MIN(A44,750000)-400000)*0.075+MAX(0,MIN(A44,1500000)-750000)*0.1+MAX(0,A44-1500000)*0.12))),0)))))+(Inputs!B14+Inputs!B15+Inputs!B16+Inputs!B17)+(Summary!B14)+(Summary!B15)+(((((A44)*Inputs!B20)+(IF(Inputs!B24="Yes",(Summary!B14)*Inputs!B25,0))*Inputs!B26)*Inputs!B21*Inputs!B10/12)+((((A44)*Inputs!B20)+(IF(Inputs!B24="Yes",(Summary!B14)*Inputs!B25,0)))*Inputs!B22)+((((A44)*Inputs!B20)+(IF(Inputs!B24="Yes",(Summary!B14)*Inputs!B25,0)))*Inputs!B23))+(Summary!B17)))</f>
        <v>-16987.5</v>
      </c>
      <c r="C44" t="str">
        <f t="shared" si="1"/>
        <v/>
      </c>
    </row>
    <row r="45" spans="1:3" x14ac:dyDescent="0.2">
      <c r="A45" s="16">
        <f>$B$5+(34)*$B$7</f>
        <v>270000</v>
      </c>
      <c r="B45" s="16">
        <f>IF(A45&gt;$B$6,"",(Inputs!B6)-((A45)+(IF(Inputs!D13&lt;&gt;"",Inputs!D13,IF(Inputs!B7="England &amp; N. Ireland",(IF(Inputs!B8="First-time buyer",(IF(A45&lt;=500000,MAX(0,A45-300000)*0.05,(MAX(0,MIN(A45,250000)-125000)*0.02+MAX(0,MIN(A45,925000)-250000)*0.05+MAX(0,MIN(A45,1500000)-925000)*0.1+MAX(0,A45-1500000)*0.12))),(MAX(0,MIN(A45,250000)-125000)*0.02+MAX(0,MIN(A45,925000)-250000)*0.05+MAX(0,MIN(A45,1500000)-925000)*0.1+MAX(0,A45-1500000)*0.12)+IF(Inputs!B8="Additional / Investor",0.05*A45,0)+IF(Inputs!B9="Yes",0.02*A45,0))),IF(Inputs!B7="Scotland",((MAX(0,MIN(A45,250000)-145000)*0.02+MAX(0,MIN(A45,325000)-250000)*0.05+MAX(0,MIN(A45,750000)-325000)*0.1+MAX(0,A45-750000)*0.12)-IF(Inputs!B8="First-time buyer",(IF(A45&gt;145000,MIN(600,0.02*(MIN(A45,175000)-145000)),0)),0)+IF(Inputs!B8="Additional / Investor",0.08*A45,0)),IF(Inputs!B7="Wales",(IF(Inputs!B8="Additional / Investor",(MIN(A45,180000)*0.05+MAX(0,MIN(A45,250000)-180000)*0.085+MAX(0,MIN(A45,400000)-250000)*0.1+MAX(0,MIN(A45,750000)-400000)*0.125+MAX(0,MIN(A45,1500000)-750000)*0.15+MAX(0,A45-1500000)*0.17),(MAX(0,MIN(A45,400000)-225000)*0.06+MAX(0,MIN(A45,750000)-400000)*0.075+MAX(0,MIN(A45,1500000)-750000)*0.1+MAX(0,A45-1500000)*0.12))),0)))))+(Inputs!B14+Inputs!B15+Inputs!B16+Inputs!B17)+(Summary!B14)+(Summary!B15)+(((((A45)*Inputs!B20)+(IF(Inputs!B24="Yes",(Summary!B14)*Inputs!B25,0))*Inputs!B26)*Inputs!B21*Inputs!B10/12)+((((A45)*Inputs!B20)+(IF(Inputs!B24="Yes",(Summary!B14)*Inputs!B25,0)))*Inputs!B22)+((((A45)*Inputs!B20)+(IF(Inputs!B24="Yes",(Summary!B14)*Inputs!B25,0)))*Inputs!B23))+(Summary!B17)))</f>
        <v>-22825</v>
      </c>
      <c r="C45" t="str">
        <f t="shared" si="1"/>
        <v/>
      </c>
    </row>
    <row r="46" spans="1:3" x14ac:dyDescent="0.2">
      <c r="A46" s="16">
        <f>$B$5+(35)*$B$7</f>
        <v>275000</v>
      </c>
      <c r="B46" s="16">
        <f>IF(A46&gt;$B$6,"",(Inputs!B6)-((A46)+(IF(Inputs!D13&lt;&gt;"",Inputs!D13,IF(Inputs!B7="England &amp; N. Ireland",(IF(Inputs!B8="First-time buyer",(IF(A46&lt;=500000,MAX(0,A46-300000)*0.05,(MAX(0,MIN(A46,250000)-125000)*0.02+MAX(0,MIN(A46,925000)-250000)*0.05+MAX(0,MIN(A46,1500000)-925000)*0.1+MAX(0,A46-1500000)*0.12))),(MAX(0,MIN(A46,250000)-125000)*0.02+MAX(0,MIN(A46,925000)-250000)*0.05+MAX(0,MIN(A46,1500000)-925000)*0.1+MAX(0,A46-1500000)*0.12)+IF(Inputs!B8="Additional / Investor",0.05*A46,0)+IF(Inputs!B9="Yes",0.02*A46,0))),IF(Inputs!B7="Scotland",((MAX(0,MIN(A46,250000)-145000)*0.02+MAX(0,MIN(A46,325000)-250000)*0.05+MAX(0,MIN(A46,750000)-325000)*0.1+MAX(0,A46-750000)*0.12)-IF(Inputs!B8="First-time buyer",(IF(A46&gt;145000,MIN(600,0.02*(MIN(A46,175000)-145000)),0)),0)+IF(Inputs!B8="Additional / Investor",0.08*A46,0)),IF(Inputs!B7="Wales",(IF(Inputs!B8="Additional / Investor",(MIN(A46,180000)*0.05+MAX(0,MIN(A46,250000)-180000)*0.085+MAX(0,MIN(A46,400000)-250000)*0.1+MAX(0,MIN(A46,750000)-400000)*0.125+MAX(0,MIN(A46,1500000)-750000)*0.15+MAX(0,A46-1500000)*0.17),(MAX(0,MIN(A46,400000)-225000)*0.06+MAX(0,MIN(A46,750000)-400000)*0.075+MAX(0,MIN(A46,1500000)-750000)*0.1+MAX(0,A46-1500000)*0.12))),0)))))+(Inputs!B14+Inputs!B15+Inputs!B16+Inputs!B17)+(Summary!B14)+(Summary!B15)+(((((A46)*Inputs!B20)+(IF(Inputs!B24="Yes",(Summary!B14)*Inputs!B25,0))*Inputs!B26)*Inputs!B21*Inputs!B10/12)+((((A46)*Inputs!B20)+(IF(Inputs!B24="Yes",(Summary!B14)*Inputs!B25,0)))*Inputs!B22)+((((A46)*Inputs!B20)+(IF(Inputs!B24="Yes",(Summary!B14)*Inputs!B25,0)))*Inputs!B23))+(Summary!B17)))</f>
        <v>-28662.5</v>
      </c>
      <c r="C46" t="str">
        <f t="shared" si="1"/>
        <v/>
      </c>
    </row>
    <row r="47" spans="1:3" x14ac:dyDescent="0.2">
      <c r="A47" s="16">
        <f>$B$5+(36)*$B$7</f>
        <v>280000</v>
      </c>
      <c r="B47" s="16">
        <f>IF(A47&gt;$B$6,"",(Inputs!B6)-((A47)+(IF(Inputs!D13&lt;&gt;"",Inputs!D13,IF(Inputs!B7="England &amp; N. Ireland",(IF(Inputs!B8="First-time buyer",(IF(A47&lt;=500000,MAX(0,A47-300000)*0.05,(MAX(0,MIN(A47,250000)-125000)*0.02+MAX(0,MIN(A47,925000)-250000)*0.05+MAX(0,MIN(A47,1500000)-925000)*0.1+MAX(0,A47-1500000)*0.12))),(MAX(0,MIN(A47,250000)-125000)*0.02+MAX(0,MIN(A47,925000)-250000)*0.05+MAX(0,MIN(A47,1500000)-925000)*0.1+MAX(0,A47-1500000)*0.12)+IF(Inputs!B8="Additional / Investor",0.05*A47,0)+IF(Inputs!B9="Yes",0.02*A47,0))),IF(Inputs!B7="Scotland",((MAX(0,MIN(A47,250000)-145000)*0.02+MAX(0,MIN(A47,325000)-250000)*0.05+MAX(0,MIN(A47,750000)-325000)*0.1+MAX(0,A47-750000)*0.12)-IF(Inputs!B8="First-time buyer",(IF(A47&gt;145000,MIN(600,0.02*(MIN(A47,175000)-145000)),0)),0)+IF(Inputs!B8="Additional / Investor",0.08*A47,0)),IF(Inputs!B7="Wales",(IF(Inputs!B8="Additional / Investor",(MIN(A47,180000)*0.05+MAX(0,MIN(A47,250000)-180000)*0.085+MAX(0,MIN(A47,400000)-250000)*0.1+MAX(0,MIN(A47,750000)-400000)*0.125+MAX(0,MIN(A47,1500000)-750000)*0.15+MAX(0,A47-1500000)*0.17),(MAX(0,MIN(A47,400000)-225000)*0.06+MAX(0,MIN(A47,750000)-400000)*0.075+MAX(0,MIN(A47,1500000)-750000)*0.1+MAX(0,A47-1500000)*0.12))),0)))))+(Inputs!B14+Inputs!B15+Inputs!B16+Inputs!B17)+(Summary!B14)+(Summary!B15)+(((((A47)*Inputs!B20)+(IF(Inputs!B24="Yes",(Summary!B14)*Inputs!B25,0))*Inputs!B26)*Inputs!B21*Inputs!B10/12)+((((A47)*Inputs!B20)+(IF(Inputs!B24="Yes",(Summary!B14)*Inputs!B25,0)))*Inputs!B22)+((((A47)*Inputs!B20)+(IF(Inputs!B24="Yes",(Summary!B14)*Inputs!B25,0)))*Inputs!B23))+(Summary!B17)))</f>
        <v>-34500</v>
      </c>
      <c r="C47" t="str">
        <f t="shared" si="1"/>
        <v/>
      </c>
    </row>
    <row r="48" spans="1:3" x14ac:dyDescent="0.2">
      <c r="A48" s="16">
        <f>$B$5+(37)*$B$7</f>
        <v>285000</v>
      </c>
      <c r="B48" s="16">
        <f>IF(A48&gt;$B$6,"",(Inputs!B6)-((A48)+(IF(Inputs!D13&lt;&gt;"",Inputs!D13,IF(Inputs!B7="England &amp; N. Ireland",(IF(Inputs!B8="First-time buyer",(IF(A48&lt;=500000,MAX(0,A48-300000)*0.05,(MAX(0,MIN(A48,250000)-125000)*0.02+MAX(0,MIN(A48,925000)-250000)*0.05+MAX(0,MIN(A48,1500000)-925000)*0.1+MAX(0,A48-1500000)*0.12))),(MAX(0,MIN(A48,250000)-125000)*0.02+MAX(0,MIN(A48,925000)-250000)*0.05+MAX(0,MIN(A48,1500000)-925000)*0.1+MAX(0,A48-1500000)*0.12)+IF(Inputs!B8="Additional / Investor",0.05*A48,0)+IF(Inputs!B9="Yes",0.02*A48,0))),IF(Inputs!B7="Scotland",((MAX(0,MIN(A48,250000)-145000)*0.02+MAX(0,MIN(A48,325000)-250000)*0.05+MAX(0,MIN(A48,750000)-325000)*0.1+MAX(0,A48-750000)*0.12)-IF(Inputs!B8="First-time buyer",(IF(A48&gt;145000,MIN(600,0.02*(MIN(A48,175000)-145000)),0)),0)+IF(Inputs!B8="Additional / Investor",0.08*A48,0)),IF(Inputs!B7="Wales",(IF(Inputs!B8="Additional / Investor",(MIN(A48,180000)*0.05+MAX(0,MIN(A48,250000)-180000)*0.085+MAX(0,MIN(A48,400000)-250000)*0.1+MAX(0,MIN(A48,750000)-400000)*0.125+MAX(0,MIN(A48,1500000)-750000)*0.15+MAX(0,A48-1500000)*0.17),(MAX(0,MIN(A48,400000)-225000)*0.06+MAX(0,MIN(A48,750000)-400000)*0.075+MAX(0,MIN(A48,1500000)-750000)*0.1+MAX(0,A48-1500000)*0.12))),0)))))+(Inputs!B14+Inputs!B15+Inputs!B16+Inputs!B17)+(Summary!B14)+(Summary!B15)+(((((A48)*Inputs!B20)+(IF(Inputs!B24="Yes",(Summary!B14)*Inputs!B25,0))*Inputs!B26)*Inputs!B21*Inputs!B10/12)+((((A48)*Inputs!B20)+(IF(Inputs!B24="Yes",(Summary!B14)*Inputs!B25,0)))*Inputs!B22)+((((A48)*Inputs!B20)+(IF(Inputs!B24="Yes",(Summary!B14)*Inputs!B25,0)))*Inputs!B23))+(Summary!B17)))</f>
        <v>-40337.5</v>
      </c>
      <c r="C48" t="str">
        <f t="shared" si="1"/>
        <v/>
      </c>
    </row>
    <row r="49" spans="1:3" x14ac:dyDescent="0.2">
      <c r="A49" s="16">
        <f>$B$5+(38)*$B$7</f>
        <v>290000</v>
      </c>
      <c r="B49" s="16">
        <f>IF(A49&gt;$B$6,"",(Inputs!B6)-((A49)+(IF(Inputs!D13&lt;&gt;"",Inputs!D13,IF(Inputs!B7="England &amp; N. Ireland",(IF(Inputs!B8="First-time buyer",(IF(A49&lt;=500000,MAX(0,A49-300000)*0.05,(MAX(0,MIN(A49,250000)-125000)*0.02+MAX(0,MIN(A49,925000)-250000)*0.05+MAX(0,MIN(A49,1500000)-925000)*0.1+MAX(0,A49-1500000)*0.12))),(MAX(0,MIN(A49,250000)-125000)*0.02+MAX(0,MIN(A49,925000)-250000)*0.05+MAX(0,MIN(A49,1500000)-925000)*0.1+MAX(0,A49-1500000)*0.12)+IF(Inputs!B8="Additional / Investor",0.05*A49,0)+IF(Inputs!B9="Yes",0.02*A49,0))),IF(Inputs!B7="Scotland",((MAX(0,MIN(A49,250000)-145000)*0.02+MAX(0,MIN(A49,325000)-250000)*0.05+MAX(0,MIN(A49,750000)-325000)*0.1+MAX(0,A49-750000)*0.12)-IF(Inputs!B8="First-time buyer",(IF(A49&gt;145000,MIN(600,0.02*(MIN(A49,175000)-145000)),0)),0)+IF(Inputs!B8="Additional / Investor",0.08*A49,0)),IF(Inputs!B7="Wales",(IF(Inputs!B8="Additional / Investor",(MIN(A49,180000)*0.05+MAX(0,MIN(A49,250000)-180000)*0.085+MAX(0,MIN(A49,400000)-250000)*0.1+MAX(0,MIN(A49,750000)-400000)*0.125+MAX(0,MIN(A49,1500000)-750000)*0.15+MAX(0,A49-1500000)*0.17),(MAX(0,MIN(A49,400000)-225000)*0.06+MAX(0,MIN(A49,750000)-400000)*0.075+MAX(0,MIN(A49,1500000)-750000)*0.1+MAX(0,A49-1500000)*0.12))),0)))))+(Inputs!B14+Inputs!B15+Inputs!B16+Inputs!B17)+(Summary!B14)+(Summary!B15)+(((((A49)*Inputs!B20)+(IF(Inputs!B24="Yes",(Summary!B14)*Inputs!B25,0))*Inputs!B26)*Inputs!B21*Inputs!B10/12)+((((A49)*Inputs!B20)+(IF(Inputs!B24="Yes",(Summary!B14)*Inputs!B25,0)))*Inputs!B22)+((((A49)*Inputs!B20)+(IF(Inputs!B24="Yes",(Summary!B14)*Inputs!B25,0)))*Inputs!B23))+(Summary!B17)))</f>
        <v>-46175</v>
      </c>
      <c r="C49" t="str">
        <f t="shared" si="1"/>
        <v/>
      </c>
    </row>
    <row r="50" spans="1:3" x14ac:dyDescent="0.2">
      <c r="A50" s="16">
        <f>$B$5+(39)*$B$7</f>
        <v>295000</v>
      </c>
      <c r="B50" s="16">
        <f>IF(A50&gt;$B$6,"",(Inputs!B6)-((A50)+(IF(Inputs!D13&lt;&gt;"",Inputs!D13,IF(Inputs!B7="England &amp; N. Ireland",(IF(Inputs!B8="First-time buyer",(IF(A50&lt;=500000,MAX(0,A50-300000)*0.05,(MAX(0,MIN(A50,250000)-125000)*0.02+MAX(0,MIN(A50,925000)-250000)*0.05+MAX(0,MIN(A50,1500000)-925000)*0.1+MAX(0,A50-1500000)*0.12))),(MAX(0,MIN(A50,250000)-125000)*0.02+MAX(0,MIN(A50,925000)-250000)*0.05+MAX(0,MIN(A50,1500000)-925000)*0.1+MAX(0,A50-1500000)*0.12)+IF(Inputs!B8="Additional / Investor",0.05*A50,0)+IF(Inputs!B9="Yes",0.02*A50,0))),IF(Inputs!B7="Scotland",((MAX(0,MIN(A50,250000)-145000)*0.02+MAX(0,MIN(A50,325000)-250000)*0.05+MAX(0,MIN(A50,750000)-325000)*0.1+MAX(0,A50-750000)*0.12)-IF(Inputs!B8="First-time buyer",(IF(A50&gt;145000,MIN(600,0.02*(MIN(A50,175000)-145000)),0)),0)+IF(Inputs!B8="Additional / Investor",0.08*A50,0)),IF(Inputs!B7="Wales",(IF(Inputs!B8="Additional / Investor",(MIN(A50,180000)*0.05+MAX(0,MIN(A50,250000)-180000)*0.085+MAX(0,MIN(A50,400000)-250000)*0.1+MAX(0,MIN(A50,750000)-400000)*0.125+MAX(0,MIN(A50,1500000)-750000)*0.15+MAX(0,A50-1500000)*0.17),(MAX(0,MIN(A50,400000)-225000)*0.06+MAX(0,MIN(A50,750000)-400000)*0.075+MAX(0,MIN(A50,1500000)-750000)*0.1+MAX(0,A50-1500000)*0.12))),0)))))+(Inputs!B14+Inputs!B15+Inputs!B16+Inputs!B17)+(Summary!B14)+(Summary!B15)+(((((A50)*Inputs!B20)+(IF(Inputs!B24="Yes",(Summary!B14)*Inputs!B25,0))*Inputs!B26)*Inputs!B21*Inputs!B10/12)+((((A50)*Inputs!B20)+(IF(Inputs!B24="Yes",(Summary!B14)*Inputs!B25,0)))*Inputs!B22)+((((A50)*Inputs!B20)+(IF(Inputs!B24="Yes",(Summary!B14)*Inputs!B25,0)))*Inputs!B23))+(Summary!B17)))</f>
        <v>-52012.5</v>
      </c>
      <c r="C50" t="str">
        <f t="shared" si="1"/>
        <v/>
      </c>
    </row>
    <row r="51" spans="1:3" x14ac:dyDescent="0.2">
      <c r="A51" s="16">
        <f>$B$5+(40)*$B$7</f>
        <v>300000</v>
      </c>
      <c r="B51" s="16">
        <f>IF(A51&gt;$B$6,"",(Inputs!B6)-((A51)+(IF(Inputs!D13&lt;&gt;"",Inputs!D13,IF(Inputs!B7="England &amp; N. Ireland",(IF(Inputs!B8="First-time buyer",(IF(A51&lt;=500000,MAX(0,A51-300000)*0.05,(MAX(0,MIN(A51,250000)-125000)*0.02+MAX(0,MIN(A51,925000)-250000)*0.05+MAX(0,MIN(A51,1500000)-925000)*0.1+MAX(0,A51-1500000)*0.12))),(MAX(0,MIN(A51,250000)-125000)*0.02+MAX(0,MIN(A51,925000)-250000)*0.05+MAX(0,MIN(A51,1500000)-925000)*0.1+MAX(0,A51-1500000)*0.12)+IF(Inputs!B8="Additional / Investor",0.05*A51,0)+IF(Inputs!B9="Yes",0.02*A51,0))),IF(Inputs!B7="Scotland",((MAX(0,MIN(A51,250000)-145000)*0.02+MAX(0,MIN(A51,325000)-250000)*0.05+MAX(0,MIN(A51,750000)-325000)*0.1+MAX(0,A51-750000)*0.12)-IF(Inputs!B8="First-time buyer",(IF(A51&gt;145000,MIN(600,0.02*(MIN(A51,175000)-145000)),0)),0)+IF(Inputs!B8="Additional / Investor",0.08*A51,0)),IF(Inputs!B7="Wales",(IF(Inputs!B8="Additional / Investor",(MIN(A51,180000)*0.05+MAX(0,MIN(A51,250000)-180000)*0.085+MAX(0,MIN(A51,400000)-250000)*0.1+MAX(0,MIN(A51,750000)-400000)*0.125+MAX(0,MIN(A51,1500000)-750000)*0.15+MAX(0,A51-1500000)*0.17),(MAX(0,MIN(A51,400000)-225000)*0.06+MAX(0,MIN(A51,750000)-400000)*0.075+MAX(0,MIN(A51,1500000)-750000)*0.1+MAX(0,A51-1500000)*0.12))),0)))))+(Inputs!B14+Inputs!B15+Inputs!B16+Inputs!B17)+(Summary!B14)+(Summary!B15)+(((((A51)*Inputs!B20)+(IF(Inputs!B24="Yes",(Summary!B14)*Inputs!B25,0))*Inputs!B26)*Inputs!B21*Inputs!B10/12)+((((A51)*Inputs!B20)+(IF(Inputs!B24="Yes",(Summary!B14)*Inputs!B25,0)))*Inputs!B22)+((((A51)*Inputs!B20)+(IF(Inputs!B24="Yes",(Summary!B14)*Inputs!B25,0)))*Inputs!B23))+(Summary!B17)))</f>
        <v>-57850</v>
      </c>
      <c r="C51" t="str">
        <f t="shared" si="1"/>
        <v/>
      </c>
    </row>
    <row r="52" spans="1:3" x14ac:dyDescent="0.2">
      <c r="A52" s="16">
        <f>$B$5+(41)*$B$7</f>
        <v>305000</v>
      </c>
      <c r="B52" s="16">
        <f>IF(A52&gt;$B$6,"",(Inputs!B6)-((A52)+(IF(Inputs!D13&lt;&gt;"",Inputs!D13,IF(Inputs!B7="England &amp; N. Ireland",(IF(Inputs!B8="First-time buyer",(IF(A52&lt;=500000,MAX(0,A52-300000)*0.05,(MAX(0,MIN(A52,250000)-125000)*0.02+MAX(0,MIN(A52,925000)-250000)*0.05+MAX(0,MIN(A52,1500000)-925000)*0.1+MAX(0,A52-1500000)*0.12))),(MAX(0,MIN(A52,250000)-125000)*0.02+MAX(0,MIN(A52,925000)-250000)*0.05+MAX(0,MIN(A52,1500000)-925000)*0.1+MAX(0,A52-1500000)*0.12)+IF(Inputs!B8="Additional / Investor",0.05*A52,0)+IF(Inputs!B9="Yes",0.02*A52,0))),IF(Inputs!B7="Scotland",((MAX(0,MIN(A52,250000)-145000)*0.02+MAX(0,MIN(A52,325000)-250000)*0.05+MAX(0,MIN(A52,750000)-325000)*0.1+MAX(0,A52-750000)*0.12)-IF(Inputs!B8="First-time buyer",(IF(A52&gt;145000,MIN(600,0.02*(MIN(A52,175000)-145000)),0)),0)+IF(Inputs!B8="Additional / Investor",0.08*A52,0)),IF(Inputs!B7="Wales",(IF(Inputs!B8="Additional / Investor",(MIN(A52,180000)*0.05+MAX(0,MIN(A52,250000)-180000)*0.085+MAX(0,MIN(A52,400000)-250000)*0.1+MAX(0,MIN(A52,750000)-400000)*0.125+MAX(0,MIN(A52,1500000)-750000)*0.15+MAX(0,A52-1500000)*0.17),(MAX(0,MIN(A52,400000)-225000)*0.06+MAX(0,MIN(A52,750000)-400000)*0.075+MAX(0,MIN(A52,1500000)-750000)*0.1+MAX(0,A52-1500000)*0.12))),0)))))+(Inputs!B14+Inputs!B15+Inputs!B16+Inputs!B17)+(Summary!B14)+(Summary!B15)+(((((A52)*Inputs!B20)+(IF(Inputs!B24="Yes",(Summary!B14)*Inputs!B25,0))*Inputs!B26)*Inputs!B21*Inputs!B10/12)+((((A52)*Inputs!B20)+(IF(Inputs!B24="Yes",(Summary!B14)*Inputs!B25,0)))*Inputs!B22)+((((A52)*Inputs!B20)+(IF(Inputs!B24="Yes",(Summary!B14)*Inputs!B25,0)))*Inputs!B23))+(Summary!B17)))</f>
        <v>-63687.5</v>
      </c>
      <c r="C52" t="str">
        <f t="shared" si="1"/>
        <v/>
      </c>
    </row>
    <row r="53" spans="1:3" x14ac:dyDescent="0.2">
      <c r="A53" s="16">
        <f>$B$5+(42)*$B$7</f>
        <v>310000</v>
      </c>
      <c r="B53" s="16">
        <f>IF(A53&gt;$B$6,"",(Inputs!B6)-((A53)+(IF(Inputs!D13&lt;&gt;"",Inputs!D13,IF(Inputs!B7="England &amp; N. Ireland",(IF(Inputs!B8="First-time buyer",(IF(A53&lt;=500000,MAX(0,A53-300000)*0.05,(MAX(0,MIN(A53,250000)-125000)*0.02+MAX(0,MIN(A53,925000)-250000)*0.05+MAX(0,MIN(A53,1500000)-925000)*0.1+MAX(0,A53-1500000)*0.12))),(MAX(0,MIN(A53,250000)-125000)*0.02+MAX(0,MIN(A53,925000)-250000)*0.05+MAX(0,MIN(A53,1500000)-925000)*0.1+MAX(0,A53-1500000)*0.12)+IF(Inputs!B8="Additional / Investor",0.05*A53,0)+IF(Inputs!B9="Yes",0.02*A53,0))),IF(Inputs!B7="Scotland",((MAX(0,MIN(A53,250000)-145000)*0.02+MAX(0,MIN(A53,325000)-250000)*0.05+MAX(0,MIN(A53,750000)-325000)*0.1+MAX(0,A53-750000)*0.12)-IF(Inputs!B8="First-time buyer",(IF(A53&gt;145000,MIN(600,0.02*(MIN(A53,175000)-145000)),0)),0)+IF(Inputs!B8="Additional / Investor",0.08*A53,0)),IF(Inputs!B7="Wales",(IF(Inputs!B8="Additional / Investor",(MIN(A53,180000)*0.05+MAX(0,MIN(A53,250000)-180000)*0.085+MAX(0,MIN(A53,400000)-250000)*0.1+MAX(0,MIN(A53,750000)-400000)*0.125+MAX(0,MIN(A53,1500000)-750000)*0.15+MAX(0,A53-1500000)*0.17),(MAX(0,MIN(A53,400000)-225000)*0.06+MAX(0,MIN(A53,750000)-400000)*0.075+MAX(0,MIN(A53,1500000)-750000)*0.1+MAX(0,A53-1500000)*0.12))),0)))))+(Inputs!B14+Inputs!B15+Inputs!B16+Inputs!B17)+(Summary!B14)+(Summary!B15)+(((((A53)*Inputs!B20)+(IF(Inputs!B24="Yes",(Summary!B14)*Inputs!B25,0))*Inputs!B26)*Inputs!B21*Inputs!B10/12)+((((A53)*Inputs!B20)+(IF(Inputs!B24="Yes",(Summary!B14)*Inputs!B25,0)))*Inputs!B22)+((((A53)*Inputs!B20)+(IF(Inputs!B24="Yes",(Summary!B14)*Inputs!B25,0)))*Inputs!B23))+(Summary!B17)))</f>
        <v>-69525</v>
      </c>
      <c r="C53" t="str">
        <f t="shared" si="1"/>
        <v/>
      </c>
    </row>
    <row r="54" spans="1:3" x14ac:dyDescent="0.2">
      <c r="A54" s="16">
        <f>$B$5+(43)*$B$7</f>
        <v>315000</v>
      </c>
      <c r="B54" s="16">
        <f>IF(A54&gt;$B$6,"",(Inputs!B6)-((A54)+(IF(Inputs!D13&lt;&gt;"",Inputs!D13,IF(Inputs!B7="England &amp; N. Ireland",(IF(Inputs!B8="First-time buyer",(IF(A54&lt;=500000,MAX(0,A54-300000)*0.05,(MAX(0,MIN(A54,250000)-125000)*0.02+MAX(0,MIN(A54,925000)-250000)*0.05+MAX(0,MIN(A54,1500000)-925000)*0.1+MAX(0,A54-1500000)*0.12))),(MAX(0,MIN(A54,250000)-125000)*0.02+MAX(0,MIN(A54,925000)-250000)*0.05+MAX(0,MIN(A54,1500000)-925000)*0.1+MAX(0,A54-1500000)*0.12)+IF(Inputs!B8="Additional / Investor",0.05*A54,0)+IF(Inputs!B9="Yes",0.02*A54,0))),IF(Inputs!B7="Scotland",((MAX(0,MIN(A54,250000)-145000)*0.02+MAX(0,MIN(A54,325000)-250000)*0.05+MAX(0,MIN(A54,750000)-325000)*0.1+MAX(0,A54-750000)*0.12)-IF(Inputs!B8="First-time buyer",(IF(A54&gt;145000,MIN(600,0.02*(MIN(A54,175000)-145000)),0)),0)+IF(Inputs!B8="Additional / Investor",0.08*A54,0)),IF(Inputs!B7="Wales",(IF(Inputs!B8="Additional / Investor",(MIN(A54,180000)*0.05+MAX(0,MIN(A54,250000)-180000)*0.085+MAX(0,MIN(A54,400000)-250000)*0.1+MAX(0,MIN(A54,750000)-400000)*0.125+MAX(0,MIN(A54,1500000)-750000)*0.15+MAX(0,A54-1500000)*0.17),(MAX(0,MIN(A54,400000)-225000)*0.06+MAX(0,MIN(A54,750000)-400000)*0.075+MAX(0,MIN(A54,1500000)-750000)*0.1+MAX(0,A54-1500000)*0.12))),0)))))+(Inputs!B14+Inputs!B15+Inputs!B16+Inputs!B17)+(Summary!B14)+(Summary!B15)+(((((A54)*Inputs!B20)+(IF(Inputs!B24="Yes",(Summary!B14)*Inputs!B25,0))*Inputs!B26)*Inputs!B21*Inputs!B10/12)+((((A54)*Inputs!B20)+(IF(Inputs!B24="Yes",(Summary!B14)*Inputs!B25,0)))*Inputs!B22)+((((A54)*Inputs!B20)+(IF(Inputs!B24="Yes",(Summary!B14)*Inputs!B25,0)))*Inputs!B23))+(Summary!B17)))</f>
        <v>-75362.5</v>
      </c>
      <c r="C54" t="str">
        <f t="shared" si="1"/>
        <v/>
      </c>
    </row>
    <row r="55" spans="1:3" x14ac:dyDescent="0.2">
      <c r="A55" s="16">
        <f>$B$5+(44)*$B$7</f>
        <v>320000</v>
      </c>
      <c r="B55" s="16">
        <f>IF(A55&gt;$B$6,"",(Inputs!B6)-((A55)+(IF(Inputs!D13&lt;&gt;"",Inputs!D13,IF(Inputs!B7="England &amp; N. Ireland",(IF(Inputs!B8="First-time buyer",(IF(A55&lt;=500000,MAX(0,A55-300000)*0.05,(MAX(0,MIN(A55,250000)-125000)*0.02+MAX(0,MIN(A55,925000)-250000)*0.05+MAX(0,MIN(A55,1500000)-925000)*0.1+MAX(0,A55-1500000)*0.12))),(MAX(0,MIN(A55,250000)-125000)*0.02+MAX(0,MIN(A55,925000)-250000)*0.05+MAX(0,MIN(A55,1500000)-925000)*0.1+MAX(0,A55-1500000)*0.12)+IF(Inputs!B8="Additional / Investor",0.05*A55,0)+IF(Inputs!B9="Yes",0.02*A55,0))),IF(Inputs!B7="Scotland",((MAX(0,MIN(A55,250000)-145000)*0.02+MAX(0,MIN(A55,325000)-250000)*0.05+MAX(0,MIN(A55,750000)-325000)*0.1+MAX(0,A55-750000)*0.12)-IF(Inputs!B8="First-time buyer",(IF(A55&gt;145000,MIN(600,0.02*(MIN(A55,175000)-145000)),0)),0)+IF(Inputs!B8="Additional / Investor",0.08*A55,0)),IF(Inputs!B7="Wales",(IF(Inputs!B8="Additional / Investor",(MIN(A55,180000)*0.05+MAX(0,MIN(A55,250000)-180000)*0.085+MAX(0,MIN(A55,400000)-250000)*0.1+MAX(0,MIN(A55,750000)-400000)*0.125+MAX(0,MIN(A55,1500000)-750000)*0.15+MAX(0,A55-1500000)*0.17),(MAX(0,MIN(A55,400000)-225000)*0.06+MAX(0,MIN(A55,750000)-400000)*0.075+MAX(0,MIN(A55,1500000)-750000)*0.1+MAX(0,A55-1500000)*0.12))),0)))))+(Inputs!B14+Inputs!B15+Inputs!B16+Inputs!B17)+(Summary!B14)+(Summary!B15)+(((((A55)*Inputs!B20)+(IF(Inputs!B24="Yes",(Summary!B14)*Inputs!B25,0))*Inputs!B26)*Inputs!B21*Inputs!B10/12)+((((A55)*Inputs!B20)+(IF(Inputs!B24="Yes",(Summary!B14)*Inputs!B25,0)))*Inputs!B22)+((((A55)*Inputs!B20)+(IF(Inputs!B24="Yes",(Summary!B14)*Inputs!B25,0)))*Inputs!B23))+(Summary!B17)))</f>
        <v>-81200</v>
      </c>
      <c r="C55" t="str">
        <f t="shared" si="1"/>
        <v/>
      </c>
    </row>
    <row r="56" spans="1:3" x14ac:dyDescent="0.2">
      <c r="A56" s="16">
        <f>$B$5+(45)*$B$7</f>
        <v>325000</v>
      </c>
      <c r="B56" s="16">
        <f>IF(A56&gt;$B$6,"",(Inputs!B6)-((A56)+(IF(Inputs!D13&lt;&gt;"",Inputs!D13,IF(Inputs!B7="England &amp; N. Ireland",(IF(Inputs!B8="First-time buyer",(IF(A56&lt;=500000,MAX(0,A56-300000)*0.05,(MAX(0,MIN(A56,250000)-125000)*0.02+MAX(0,MIN(A56,925000)-250000)*0.05+MAX(0,MIN(A56,1500000)-925000)*0.1+MAX(0,A56-1500000)*0.12))),(MAX(0,MIN(A56,250000)-125000)*0.02+MAX(0,MIN(A56,925000)-250000)*0.05+MAX(0,MIN(A56,1500000)-925000)*0.1+MAX(0,A56-1500000)*0.12)+IF(Inputs!B8="Additional / Investor",0.05*A56,0)+IF(Inputs!B9="Yes",0.02*A56,0))),IF(Inputs!B7="Scotland",((MAX(0,MIN(A56,250000)-145000)*0.02+MAX(0,MIN(A56,325000)-250000)*0.05+MAX(0,MIN(A56,750000)-325000)*0.1+MAX(0,A56-750000)*0.12)-IF(Inputs!B8="First-time buyer",(IF(A56&gt;145000,MIN(600,0.02*(MIN(A56,175000)-145000)),0)),0)+IF(Inputs!B8="Additional / Investor",0.08*A56,0)),IF(Inputs!B7="Wales",(IF(Inputs!B8="Additional / Investor",(MIN(A56,180000)*0.05+MAX(0,MIN(A56,250000)-180000)*0.085+MAX(0,MIN(A56,400000)-250000)*0.1+MAX(0,MIN(A56,750000)-400000)*0.125+MAX(0,MIN(A56,1500000)-750000)*0.15+MAX(0,A56-1500000)*0.17),(MAX(0,MIN(A56,400000)-225000)*0.06+MAX(0,MIN(A56,750000)-400000)*0.075+MAX(0,MIN(A56,1500000)-750000)*0.1+MAX(0,A56-1500000)*0.12))),0)))))+(Inputs!B14+Inputs!B15+Inputs!B16+Inputs!B17)+(Summary!B14)+(Summary!B15)+(((((A56)*Inputs!B20)+(IF(Inputs!B24="Yes",(Summary!B14)*Inputs!B25,0))*Inputs!B26)*Inputs!B21*Inputs!B10/12)+((((A56)*Inputs!B20)+(IF(Inputs!B24="Yes",(Summary!B14)*Inputs!B25,0)))*Inputs!B22)+((((A56)*Inputs!B20)+(IF(Inputs!B24="Yes",(Summary!B14)*Inputs!B25,0)))*Inputs!B23))+(Summary!B17)))</f>
        <v>-87037.5</v>
      </c>
      <c r="C56" t="str">
        <f t="shared" si="1"/>
        <v/>
      </c>
    </row>
    <row r="57" spans="1:3" x14ac:dyDescent="0.2">
      <c r="A57" s="16">
        <f>$B$5+(46)*$B$7</f>
        <v>330000</v>
      </c>
      <c r="B57" s="16">
        <f>IF(A57&gt;$B$6,"",(Inputs!B6)-((A57)+(IF(Inputs!D13&lt;&gt;"",Inputs!D13,IF(Inputs!B7="England &amp; N. Ireland",(IF(Inputs!B8="First-time buyer",(IF(A57&lt;=500000,MAX(0,A57-300000)*0.05,(MAX(0,MIN(A57,250000)-125000)*0.02+MAX(0,MIN(A57,925000)-250000)*0.05+MAX(0,MIN(A57,1500000)-925000)*0.1+MAX(0,A57-1500000)*0.12))),(MAX(0,MIN(A57,250000)-125000)*0.02+MAX(0,MIN(A57,925000)-250000)*0.05+MAX(0,MIN(A57,1500000)-925000)*0.1+MAX(0,A57-1500000)*0.12)+IF(Inputs!B8="Additional / Investor",0.05*A57,0)+IF(Inputs!B9="Yes",0.02*A57,0))),IF(Inputs!B7="Scotland",((MAX(0,MIN(A57,250000)-145000)*0.02+MAX(0,MIN(A57,325000)-250000)*0.05+MAX(0,MIN(A57,750000)-325000)*0.1+MAX(0,A57-750000)*0.12)-IF(Inputs!B8="First-time buyer",(IF(A57&gt;145000,MIN(600,0.02*(MIN(A57,175000)-145000)),0)),0)+IF(Inputs!B8="Additional / Investor",0.08*A57,0)),IF(Inputs!B7="Wales",(IF(Inputs!B8="Additional / Investor",(MIN(A57,180000)*0.05+MAX(0,MIN(A57,250000)-180000)*0.085+MAX(0,MIN(A57,400000)-250000)*0.1+MAX(0,MIN(A57,750000)-400000)*0.125+MAX(0,MIN(A57,1500000)-750000)*0.15+MAX(0,A57-1500000)*0.17),(MAX(0,MIN(A57,400000)-225000)*0.06+MAX(0,MIN(A57,750000)-400000)*0.075+MAX(0,MIN(A57,1500000)-750000)*0.1+MAX(0,A57-1500000)*0.12))),0)))))+(Inputs!B14+Inputs!B15+Inputs!B16+Inputs!B17)+(Summary!B14)+(Summary!B15)+(((((A57)*Inputs!B20)+(IF(Inputs!B24="Yes",(Summary!B14)*Inputs!B25,0))*Inputs!B26)*Inputs!B21*Inputs!B10/12)+((((A57)*Inputs!B20)+(IF(Inputs!B24="Yes",(Summary!B14)*Inputs!B25,0)))*Inputs!B22)+((((A57)*Inputs!B20)+(IF(Inputs!B24="Yes",(Summary!B14)*Inputs!B25,0)))*Inputs!B23))+(Summary!B17)))</f>
        <v>-92875</v>
      </c>
      <c r="C57" t="str">
        <f t="shared" si="1"/>
        <v/>
      </c>
    </row>
    <row r="58" spans="1:3" x14ac:dyDescent="0.2">
      <c r="A58" s="16">
        <f>$B$5+(47)*$B$7</f>
        <v>335000</v>
      </c>
      <c r="B58" s="16">
        <f>IF(A58&gt;$B$6,"",(Inputs!B6)-((A58)+(IF(Inputs!D13&lt;&gt;"",Inputs!D13,IF(Inputs!B7="England &amp; N. Ireland",(IF(Inputs!B8="First-time buyer",(IF(A58&lt;=500000,MAX(0,A58-300000)*0.05,(MAX(0,MIN(A58,250000)-125000)*0.02+MAX(0,MIN(A58,925000)-250000)*0.05+MAX(0,MIN(A58,1500000)-925000)*0.1+MAX(0,A58-1500000)*0.12))),(MAX(0,MIN(A58,250000)-125000)*0.02+MAX(0,MIN(A58,925000)-250000)*0.05+MAX(0,MIN(A58,1500000)-925000)*0.1+MAX(0,A58-1500000)*0.12)+IF(Inputs!B8="Additional / Investor",0.05*A58,0)+IF(Inputs!B9="Yes",0.02*A58,0))),IF(Inputs!B7="Scotland",((MAX(0,MIN(A58,250000)-145000)*0.02+MAX(0,MIN(A58,325000)-250000)*0.05+MAX(0,MIN(A58,750000)-325000)*0.1+MAX(0,A58-750000)*0.12)-IF(Inputs!B8="First-time buyer",(IF(A58&gt;145000,MIN(600,0.02*(MIN(A58,175000)-145000)),0)),0)+IF(Inputs!B8="Additional / Investor",0.08*A58,0)),IF(Inputs!B7="Wales",(IF(Inputs!B8="Additional / Investor",(MIN(A58,180000)*0.05+MAX(0,MIN(A58,250000)-180000)*0.085+MAX(0,MIN(A58,400000)-250000)*0.1+MAX(0,MIN(A58,750000)-400000)*0.125+MAX(0,MIN(A58,1500000)-750000)*0.15+MAX(0,A58-1500000)*0.17),(MAX(0,MIN(A58,400000)-225000)*0.06+MAX(0,MIN(A58,750000)-400000)*0.075+MAX(0,MIN(A58,1500000)-750000)*0.1+MAX(0,A58-1500000)*0.12))),0)))))+(Inputs!B14+Inputs!B15+Inputs!B16+Inputs!B17)+(Summary!B14)+(Summary!B15)+(((((A58)*Inputs!B20)+(IF(Inputs!B24="Yes",(Summary!B14)*Inputs!B25,0))*Inputs!B26)*Inputs!B21*Inputs!B10/12)+((((A58)*Inputs!B20)+(IF(Inputs!B24="Yes",(Summary!B14)*Inputs!B25,0)))*Inputs!B22)+((((A58)*Inputs!B20)+(IF(Inputs!B24="Yes",(Summary!B14)*Inputs!B25,0)))*Inputs!B23))+(Summary!B17)))</f>
        <v>-98712.5</v>
      </c>
      <c r="C58" t="str">
        <f t="shared" si="1"/>
        <v/>
      </c>
    </row>
    <row r="59" spans="1:3" x14ac:dyDescent="0.2">
      <c r="A59" s="16">
        <f>$B$5+(48)*$B$7</f>
        <v>340000</v>
      </c>
      <c r="B59" s="16">
        <f>IF(A59&gt;$B$6,"",(Inputs!B6)-((A59)+(IF(Inputs!D13&lt;&gt;"",Inputs!D13,IF(Inputs!B7="England &amp; N. Ireland",(IF(Inputs!B8="First-time buyer",(IF(A59&lt;=500000,MAX(0,A59-300000)*0.05,(MAX(0,MIN(A59,250000)-125000)*0.02+MAX(0,MIN(A59,925000)-250000)*0.05+MAX(0,MIN(A59,1500000)-925000)*0.1+MAX(0,A59-1500000)*0.12))),(MAX(0,MIN(A59,250000)-125000)*0.02+MAX(0,MIN(A59,925000)-250000)*0.05+MAX(0,MIN(A59,1500000)-925000)*0.1+MAX(0,A59-1500000)*0.12)+IF(Inputs!B8="Additional / Investor",0.05*A59,0)+IF(Inputs!B9="Yes",0.02*A59,0))),IF(Inputs!B7="Scotland",((MAX(0,MIN(A59,250000)-145000)*0.02+MAX(0,MIN(A59,325000)-250000)*0.05+MAX(0,MIN(A59,750000)-325000)*0.1+MAX(0,A59-750000)*0.12)-IF(Inputs!B8="First-time buyer",(IF(A59&gt;145000,MIN(600,0.02*(MIN(A59,175000)-145000)),0)),0)+IF(Inputs!B8="Additional / Investor",0.08*A59,0)),IF(Inputs!B7="Wales",(IF(Inputs!B8="Additional / Investor",(MIN(A59,180000)*0.05+MAX(0,MIN(A59,250000)-180000)*0.085+MAX(0,MIN(A59,400000)-250000)*0.1+MAX(0,MIN(A59,750000)-400000)*0.125+MAX(0,MIN(A59,1500000)-750000)*0.15+MAX(0,A59-1500000)*0.17),(MAX(0,MIN(A59,400000)-225000)*0.06+MAX(0,MIN(A59,750000)-400000)*0.075+MAX(0,MIN(A59,1500000)-750000)*0.1+MAX(0,A59-1500000)*0.12))),0)))))+(Inputs!B14+Inputs!B15+Inputs!B16+Inputs!B17)+(Summary!B14)+(Summary!B15)+(((((A59)*Inputs!B20)+(IF(Inputs!B24="Yes",(Summary!B14)*Inputs!B25,0))*Inputs!B26)*Inputs!B21*Inputs!B10/12)+((((A59)*Inputs!B20)+(IF(Inputs!B24="Yes",(Summary!B14)*Inputs!B25,0)))*Inputs!B22)+((((A59)*Inputs!B20)+(IF(Inputs!B24="Yes",(Summary!B14)*Inputs!B25,0)))*Inputs!B23))+(Summary!B17)))</f>
        <v>-104550</v>
      </c>
      <c r="C59" t="str">
        <f t="shared" si="1"/>
        <v/>
      </c>
    </row>
    <row r="60" spans="1:3" x14ac:dyDescent="0.2">
      <c r="A60" s="16">
        <f>$B$5+(49)*$B$7</f>
        <v>345000</v>
      </c>
      <c r="B60" s="16">
        <f>IF(A60&gt;$B$6,"",(Inputs!B6)-((A60)+(IF(Inputs!D13&lt;&gt;"",Inputs!D13,IF(Inputs!B7="England &amp; N. Ireland",(IF(Inputs!B8="First-time buyer",(IF(A60&lt;=500000,MAX(0,A60-300000)*0.05,(MAX(0,MIN(A60,250000)-125000)*0.02+MAX(0,MIN(A60,925000)-250000)*0.05+MAX(0,MIN(A60,1500000)-925000)*0.1+MAX(0,A60-1500000)*0.12))),(MAX(0,MIN(A60,250000)-125000)*0.02+MAX(0,MIN(A60,925000)-250000)*0.05+MAX(0,MIN(A60,1500000)-925000)*0.1+MAX(0,A60-1500000)*0.12)+IF(Inputs!B8="Additional / Investor",0.05*A60,0)+IF(Inputs!B9="Yes",0.02*A60,0))),IF(Inputs!B7="Scotland",((MAX(0,MIN(A60,250000)-145000)*0.02+MAX(0,MIN(A60,325000)-250000)*0.05+MAX(0,MIN(A60,750000)-325000)*0.1+MAX(0,A60-750000)*0.12)-IF(Inputs!B8="First-time buyer",(IF(A60&gt;145000,MIN(600,0.02*(MIN(A60,175000)-145000)),0)),0)+IF(Inputs!B8="Additional / Investor",0.08*A60,0)),IF(Inputs!B7="Wales",(IF(Inputs!B8="Additional / Investor",(MIN(A60,180000)*0.05+MAX(0,MIN(A60,250000)-180000)*0.085+MAX(0,MIN(A60,400000)-250000)*0.1+MAX(0,MIN(A60,750000)-400000)*0.125+MAX(0,MIN(A60,1500000)-750000)*0.15+MAX(0,A60-1500000)*0.17),(MAX(0,MIN(A60,400000)-225000)*0.06+MAX(0,MIN(A60,750000)-400000)*0.075+MAX(0,MIN(A60,1500000)-750000)*0.1+MAX(0,A60-1500000)*0.12))),0)))))+(Inputs!B14+Inputs!B15+Inputs!B16+Inputs!B17)+(Summary!B14)+(Summary!B15)+(((((A60)*Inputs!B20)+(IF(Inputs!B24="Yes",(Summary!B14)*Inputs!B25,0))*Inputs!B26)*Inputs!B21*Inputs!B10/12)+((((A60)*Inputs!B20)+(IF(Inputs!B24="Yes",(Summary!B14)*Inputs!B25,0)))*Inputs!B22)+((((A60)*Inputs!B20)+(IF(Inputs!B24="Yes",(Summary!B14)*Inputs!B25,0)))*Inputs!B23))+(Summary!B17)))</f>
        <v>-110387.5</v>
      </c>
      <c r="C60" t="str">
        <f t="shared" si="1"/>
        <v/>
      </c>
    </row>
    <row r="61" spans="1:3" x14ac:dyDescent="0.2">
      <c r="A61" s="16">
        <f>$B$5+(50)*$B$7</f>
        <v>350000</v>
      </c>
      <c r="B61" s="16">
        <f>IF(A61&gt;$B$6,"",(Inputs!B6)-((A61)+(IF(Inputs!D13&lt;&gt;"",Inputs!D13,IF(Inputs!B7="England &amp; N. Ireland",(IF(Inputs!B8="First-time buyer",(IF(A61&lt;=500000,MAX(0,A61-300000)*0.05,(MAX(0,MIN(A61,250000)-125000)*0.02+MAX(0,MIN(A61,925000)-250000)*0.05+MAX(0,MIN(A61,1500000)-925000)*0.1+MAX(0,A61-1500000)*0.12))),(MAX(0,MIN(A61,250000)-125000)*0.02+MAX(0,MIN(A61,925000)-250000)*0.05+MAX(0,MIN(A61,1500000)-925000)*0.1+MAX(0,A61-1500000)*0.12)+IF(Inputs!B8="Additional / Investor",0.05*A61,0)+IF(Inputs!B9="Yes",0.02*A61,0))),IF(Inputs!B7="Scotland",((MAX(0,MIN(A61,250000)-145000)*0.02+MAX(0,MIN(A61,325000)-250000)*0.05+MAX(0,MIN(A61,750000)-325000)*0.1+MAX(0,A61-750000)*0.12)-IF(Inputs!B8="First-time buyer",(IF(A61&gt;145000,MIN(600,0.02*(MIN(A61,175000)-145000)),0)),0)+IF(Inputs!B8="Additional / Investor",0.08*A61,0)),IF(Inputs!B7="Wales",(IF(Inputs!B8="Additional / Investor",(MIN(A61,180000)*0.05+MAX(0,MIN(A61,250000)-180000)*0.085+MAX(0,MIN(A61,400000)-250000)*0.1+MAX(0,MIN(A61,750000)-400000)*0.125+MAX(0,MIN(A61,1500000)-750000)*0.15+MAX(0,A61-1500000)*0.17),(MAX(0,MIN(A61,400000)-225000)*0.06+MAX(0,MIN(A61,750000)-400000)*0.075+MAX(0,MIN(A61,1500000)-750000)*0.1+MAX(0,A61-1500000)*0.12))),0)))))+(Inputs!B14+Inputs!B15+Inputs!B16+Inputs!B17)+(Summary!B14)+(Summary!B15)+(((((A61)*Inputs!B20)+(IF(Inputs!B24="Yes",(Summary!B14)*Inputs!B25,0))*Inputs!B26)*Inputs!B21*Inputs!B10/12)+((((A61)*Inputs!B20)+(IF(Inputs!B24="Yes",(Summary!B14)*Inputs!B25,0)))*Inputs!B22)+((((A61)*Inputs!B20)+(IF(Inputs!B24="Yes",(Summary!B14)*Inputs!B25,0)))*Inputs!B23))+(Summary!B17)))</f>
        <v>-116225</v>
      </c>
      <c r="C61" t="str">
        <f t="shared" si="1"/>
        <v/>
      </c>
    </row>
    <row r="62" spans="1:3" x14ac:dyDescent="0.2">
      <c r="A62" s="16">
        <f>$B$5+(51)*$B$7</f>
        <v>355000</v>
      </c>
      <c r="B62" s="16">
        <f>IF(A62&gt;$B$6,"",(Inputs!B6)-((A62)+(IF(Inputs!D13&lt;&gt;"",Inputs!D13,IF(Inputs!B7="England &amp; N. Ireland",(IF(Inputs!B8="First-time buyer",(IF(A62&lt;=500000,MAX(0,A62-300000)*0.05,(MAX(0,MIN(A62,250000)-125000)*0.02+MAX(0,MIN(A62,925000)-250000)*0.05+MAX(0,MIN(A62,1500000)-925000)*0.1+MAX(0,A62-1500000)*0.12))),(MAX(0,MIN(A62,250000)-125000)*0.02+MAX(0,MIN(A62,925000)-250000)*0.05+MAX(0,MIN(A62,1500000)-925000)*0.1+MAX(0,A62-1500000)*0.12)+IF(Inputs!B8="Additional / Investor",0.05*A62,0)+IF(Inputs!B9="Yes",0.02*A62,0))),IF(Inputs!B7="Scotland",((MAX(0,MIN(A62,250000)-145000)*0.02+MAX(0,MIN(A62,325000)-250000)*0.05+MAX(0,MIN(A62,750000)-325000)*0.1+MAX(0,A62-750000)*0.12)-IF(Inputs!B8="First-time buyer",(IF(A62&gt;145000,MIN(600,0.02*(MIN(A62,175000)-145000)),0)),0)+IF(Inputs!B8="Additional / Investor",0.08*A62,0)),IF(Inputs!B7="Wales",(IF(Inputs!B8="Additional / Investor",(MIN(A62,180000)*0.05+MAX(0,MIN(A62,250000)-180000)*0.085+MAX(0,MIN(A62,400000)-250000)*0.1+MAX(0,MIN(A62,750000)-400000)*0.125+MAX(0,MIN(A62,1500000)-750000)*0.15+MAX(0,A62-1500000)*0.17),(MAX(0,MIN(A62,400000)-225000)*0.06+MAX(0,MIN(A62,750000)-400000)*0.075+MAX(0,MIN(A62,1500000)-750000)*0.1+MAX(0,A62-1500000)*0.12))),0)))))+(Inputs!B14+Inputs!B15+Inputs!B16+Inputs!B17)+(Summary!B14)+(Summary!B15)+(((((A62)*Inputs!B20)+(IF(Inputs!B24="Yes",(Summary!B14)*Inputs!B25,0))*Inputs!B26)*Inputs!B21*Inputs!B10/12)+((((A62)*Inputs!B20)+(IF(Inputs!B24="Yes",(Summary!B14)*Inputs!B25,0)))*Inputs!B22)+((((A62)*Inputs!B20)+(IF(Inputs!B24="Yes",(Summary!B14)*Inputs!B25,0)))*Inputs!B23))+(Summary!B17)))</f>
        <v>-122062.5</v>
      </c>
      <c r="C62" t="str">
        <f t="shared" si="1"/>
        <v/>
      </c>
    </row>
    <row r="63" spans="1:3" x14ac:dyDescent="0.2">
      <c r="A63" s="16">
        <f>$B$5+(52)*$B$7</f>
        <v>360000</v>
      </c>
      <c r="B63" s="16">
        <f>IF(A63&gt;$B$6,"",(Inputs!B6)-((A63)+(IF(Inputs!D13&lt;&gt;"",Inputs!D13,IF(Inputs!B7="England &amp; N. Ireland",(IF(Inputs!B8="First-time buyer",(IF(A63&lt;=500000,MAX(0,A63-300000)*0.05,(MAX(0,MIN(A63,250000)-125000)*0.02+MAX(0,MIN(A63,925000)-250000)*0.05+MAX(0,MIN(A63,1500000)-925000)*0.1+MAX(0,A63-1500000)*0.12))),(MAX(0,MIN(A63,250000)-125000)*0.02+MAX(0,MIN(A63,925000)-250000)*0.05+MAX(0,MIN(A63,1500000)-925000)*0.1+MAX(0,A63-1500000)*0.12)+IF(Inputs!B8="Additional / Investor",0.05*A63,0)+IF(Inputs!B9="Yes",0.02*A63,0))),IF(Inputs!B7="Scotland",((MAX(0,MIN(A63,250000)-145000)*0.02+MAX(0,MIN(A63,325000)-250000)*0.05+MAX(0,MIN(A63,750000)-325000)*0.1+MAX(0,A63-750000)*0.12)-IF(Inputs!B8="First-time buyer",(IF(A63&gt;145000,MIN(600,0.02*(MIN(A63,175000)-145000)),0)),0)+IF(Inputs!B8="Additional / Investor",0.08*A63,0)),IF(Inputs!B7="Wales",(IF(Inputs!B8="Additional / Investor",(MIN(A63,180000)*0.05+MAX(0,MIN(A63,250000)-180000)*0.085+MAX(0,MIN(A63,400000)-250000)*0.1+MAX(0,MIN(A63,750000)-400000)*0.125+MAX(0,MIN(A63,1500000)-750000)*0.15+MAX(0,A63-1500000)*0.17),(MAX(0,MIN(A63,400000)-225000)*0.06+MAX(0,MIN(A63,750000)-400000)*0.075+MAX(0,MIN(A63,1500000)-750000)*0.1+MAX(0,A63-1500000)*0.12))),0)))))+(Inputs!B14+Inputs!B15+Inputs!B16+Inputs!B17)+(Summary!B14)+(Summary!B15)+(((((A63)*Inputs!B20)+(IF(Inputs!B24="Yes",(Summary!B14)*Inputs!B25,0))*Inputs!B26)*Inputs!B21*Inputs!B10/12)+((((A63)*Inputs!B20)+(IF(Inputs!B24="Yes",(Summary!B14)*Inputs!B25,0)))*Inputs!B22)+((((A63)*Inputs!B20)+(IF(Inputs!B24="Yes",(Summary!B14)*Inputs!B25,0)))*Inputs!B23))+(Summary!B17)))</f>
        <v>-127900</v>
      </c>
      <c r="C63" t="str">
        <f t="shared" si="1"/>
        <v/>
      </c>
    </row>
    <row r="64" spans="1:3" x14ac:dyDescent="0.2">
      <c r="A64" s="16">
        <f>$B$5+(53)*$B$7</f>
        <v>365000</v>
      </c>
      <c r="B64" s="16">
        <f>IF(A64&gt;$B$6,"",(Inputs!B6)-((A64)+(IF(Inputs!D13&lt;&gt;"",Inputs!D13,IF(Inputs!B7="England &amp; N. Ireland",(IF(Inputs!B8="First-time buyer",(IF(A64&lt;=500000,MAX(0,A64-300000)*0.05,(MAX(0,MIN(A64,250000)-125000)*0.02+MAX(0,MIN(A64,925000)-250000)*0.05+MAX(0,MIN(A64,1500000)-925000)*0.1+MAX(0,A64-1500000)*0.12))),(MAX(0,MIN(A64,250000)-125000)*0.02+MAX(0,MIN(A64,925000)-250000)*0.05+MAX(0,MIN(A64,1500000)-925000)*0.1+MAX(0,A64-1500000)*0.12)+IF(Inputs!B8="Additional / Investor",0.05*A64,0)+IF(Inputs!B9="Yes",0.02*A64,0))),IF(Inputs!B7="Scotland",((MAX(0,MIN(A64,250000)-145000)*0.02+MAX(0,MIN(A64,325000)-250000)*0.05+MAX(0,MIN(A64,750000)-325000)*0.1+MAX(0,A64-750000)*0.12)-IF(Inputs!B8="First-time buyer",(IF(A64&gt;145000,MIN(600,0.02*(MIN(A64,175000)-145000)),0)),0)+IF(Inputs!B8="Additional / Investor",0.08*A64,0)),IF(Inputs!B7="Wales",(IF(Inputs!B8="Additional / Investor",(MIN(A64,180000)*0.05+MAX(0,MIN(A64,250000)-180000)*0.085+MAX(0,MIN(A64,400000)-250000)*0.1+MAX(0,MIN(A64,750000)-400000)*0.125+MAX(0,MIN(A64,1500000)-750000)*0.15+MAX(0,A64-1500000)*0.17),(MAX(0,MIN(A64,400000)-225000)*0.06+MAX(0,MIN(A64,750000)-400000)*0.075+MAX(0,MIN(A64,1500000)-750000)*0.1+MAX(0,A64-1500000)*0.12))),0)))))+(Inputs!B14+Inputs!B15+Inputs!B16+Inputs!B17)+(Summary!B14)+(Summary!B15)+(((((A64)*Inputs!B20)+(IF(Inputs!B24="Yes",(Summary!B14)*Inputs!B25,0))*Inputs!B26)*Inputs!B21*Inputs!B10/12)+((((A64)*Inputs!B20)+(IF(Inputs!B24="Yes",(Summary!B14)*Inputs!B25,0)))*Inputs!B22)+((((A64)*Inputs!B20)+(IF(Inputs!B24="Yes",(Summary!B14)*Inputs!B25,0)))*Inputs!B23))+(Summary!B17)))</f>
        <v>-133737.5</v>
      </c>
      <c r="C64" t="str">
        <f t="shared" si="1"/>
        <v/>
      </c>
    </row>
    <row r="65" spans="1:3" x14ac:dyDescent="0.2">
      <c r="A65" s="16">
        <f>$B$5+(54)*$B$7</f>
        <v>370000</v>
      </c>
      <c r="B65" s="16">
        <f>IF(A65&gt;$B$6,"",(Inputs!B6)-((A65)+(IF(Inputs!D13&lt;&gt;"",Inputs!D13,IF(Inputs!B7="England &amp; N. Ireland",(IF(Inputs!B8="First-time buyer",(IF(A65&lt;=500000,MAX(0,A65-300000)*0.05,(MAX(0,MIN(A65,250000)-125000)*0.02+MAX(0,MIN(A65,925000)-250000)*0.05+MAX(0,MIN(A65,1500000)-925000)*0.1+MAX(0,A65-1500000)*0.12))),(MAX(0,MIN(A65,250000)-125000)*0.02+MAX(0,MIN(A65,925000)-250000)*0.05+MAX(0,MIN(A65,1500000)-925000)*0.1+MAX(0,A65-1500000)*0.12)+IF(Inputs!B8="Additional / Investor",0.05*A65,0)+IF(Inputs!B9="Yes",0.02*A65,0))),IF(Inputs!B7="Scotland",((MAX(0,MIN(A65,250000)-145000)*0.02+MAX(0,MIN(A65,325000)-250000)*0.05+MAX(0,MIN(A65,750000)-325000)*0.1+MAX(0,A65-750000)*0.12)-IF(Inputs!B8="First-time buyer",(IF(A65&gt;145000,MIN(600,0.02*(MIN(A65,175000)-145000)),0)),0)+IF(Inputs!B8="Additional / Investor",0.08*A65,0)),IF(Inputs!B7="Wales",(IF(Inputs!B8="Additional / Investor",(MIN(A65,180000)*0.05+MAX(0,MIN(A65,250000)-180000)*0.085+MAX(0,MIN(A65,400000)-250000)*0.1+MAX(0,MIN(A65,750000)-400000)*0.125+MAX(0,MIN(A65,1500000)-750000)*0.15+MAX(0,A65-1500000)*0.17),(MAX(0,MIN(A65,400000)-225000)*0.06+MAX(0,MIN(A65,750000)-400000)*0.075+MAX(0,MIN(A65,1500000)-750000)*0.1+MAX(0,A65-1500000)*0.12))),0)))))+(Inputs!B14+Inputs!B15+Inputs!B16+Inputs!B17)+(Summary!B14)+(Summary!B15)+(((((A65)*Inputs!B20)+(IF(Inputs!B24="Yes",(Summary!B14)*Inputs!B25,0))*Inputs!B26)*Inputs!B21*Inputs!B10/12)+((((A65)*Inputs!B20)+(IF(Inputs!B24="Yes",(Summary!B14)*Inputs!B25,0)))*Inputs!B22)+((((A65)*Inputs!B20)+(IF(Inputs!B24="Yes",(Summary!B14)*Inputs!B25,0)))*Inputs!B23))+(Summary!B17)))</f>
        <v>-139575</v>
      </c>
      <c r="C65" t="str">
        <f t="shared" si="1"/>
        <v/>
      </c>
    </row>
    <row r="66" spans="1:3" x14ac:dyDescent="0.2">
      <c r="A66" s="16">
        <f>$B$5+(55)*$B$7</f>
        <v>375000</v>
      </c>
      <c r="B66" s="16">
        <f>IF(A66&gt;$B$6,"",(Inputs!B6)-((A66)+(IF(Inputs!D13&lt;&gt;"",Inputs!D13,IF(Inputs!B7="England &amp; N. Ireland",(IF(Inputs!B8="First-time buyer",(IF(A66&lt;=500000,MAX(0,A66-300000)*0.05,(MAX(0,MIN(A66,250000)-125000)*0.02+MAX(0,MIN(A66,925000)-250000)*0.05+MAX(0,MIN(A66,1500000)-925000)*0.1+MAX(0,A66-1500000)*0.12))),(MAX(0,MIN(A66,250000)-125000)*0.02+MAX(0,MIN(A66,925000)-250000)*0.05+MAX(0,MIN(A66,1500000)-925000)*0.1+MAX(0,A66-1500000)*0.12)+IF(Inputs!B8="Additional / Investor",0.05*A66,0)+IF(Inputs!B9="Yes",0.02*A66,0))),IF(Inputs!B7="Scotland",((MAX(0,MIN(A66,250000)-145000)*0.02+MAX(0,MIN(A66,325000)-250000)*0.05+MAX(0,MIN(A66,750000)-325000)*0.1+MAX(0,A66-750000)*0.12)-IF(Inputs!B8="First-time buyer",(IF(A66&gt;145000,MIN(600,0.02*(MIN(A66,175000)-145000)),0)),0)+IF(Inputs!B8="Additional / Investor",0.08*A66,0)),IF(Inputs!B7="Wales",(IF(Inputs!B8="Additional / Investor",(MIN(A66,180000)*0.05+MAX(0,MIN(A66,250000)-180000)*0.085+MAX(0,MIN(A66,400000)-250000)*0.1+MAX(0,MIN(A66,750000)-400000)*0.125+MAX(0,MIN(A66,1500000)-750000)*0.15+MAX(0,A66-1500000)*0.17),(MAX(0,MIN(A66,400000)-225000)*0.06+MAX(0,MIN(A66,750000)-400000)*0.075+MAX(0,MIN(A66,1500000)-750000)*0.1+MAX(0,A66-1500000)*0.12))),0)))))+(Inputs!B14+Inputs!B15+Inputs!B16+Inputs!B17)+(Summary!B14)+(Summary!B15)+(((((A66)*Inputs!B20)+(IF(Inputs!B24="Yes",(Summary!B14)*Inputs!B25,0))*Inputs!B26)*Inputs!B21*Inputs!B10/12)+((((A66)*Inputs!B20)+(IF(Inputs!B24="Yes",(Summary!B14)*Inputs!B25,0)))*Inputs!B22)+((((A66)*Inputs!B20)+(IF(Inputs!B24="Yes",(Summary!B14)*Inputs!B25,0)))*Inputs!B23))+(Summary!B17)))</f>
        <v>-145412.5</v>
      </c>
      <c r="C66" t="str">
        <f t="shared" si="1"/>
        <v/>
      </c>
    </row>
    <row r="67" spans="1:3" x14ac:dyDescent="0.2">
      <c r="A67" s="16">
        <f>$B$5+(56)*$B$7</f>
        <v>380000</v>
      </c>
      <c r="B67" s="16">
        <f>IF(A67&gt;$B$6,"",(Inputs!B6)-((A67)+(IF(Inputs!D13&lt;&gt;"",Inputs!D13,IF(Inputs!B7="England &amp; N. Ireland",(IF(Inputs!B8="First-time buyer",(IF(A67&lt;=500000,MAX(0,A67-300000)*0.05,(MAX(0,MIN(A67,250000)-125000)*0.02+MAX(0,MIN(A67,925000)-250000)*0.05+MAX(0,MIN(A67,1500000)-925000)*0.1+MAX(0,A67-1500000)*0.12))),(MAX(0,MIN(A67,250000)-125000)*0.02+MAX(0,MIN(A67,925000)-250000)*0.05+MAX(0,MIN(A67,1500000)-925000)*0.1+MAX(0,A67-1500000)*0.12)+IF(Inputs!B8="Additional / Investor",0.05*A67,0)+IF(Inputs!B9="Yes",0.02*A67,0))),IF(Inputs!B7="Scotland",((MAX(0,MIN(A67,250000)-145000)*0.02+MAX(0,MIN(A67,325000)-250000)*0.05+MAX(0,MIN(A67,750000)-325000)*0.1+MAX(0,A67-750000)*0.12)-IF(Inputs!B8="First-time buyer",(IF(A67&gt;145000,MIN(600,0.02*(MIN(A67,175000)-145000)),0)),0)+IF(Inputs!B8="Additional / Investor",0.08*A67,0)),IF(Inputs!B7="Wales",(IF(Inputs!B8="Additional / Investor",(MIN(A67,180000)*0.05+MAX(0,MIN(A67,250000)-180000)*0.085+MAX(0,MIN(A67,400000)-250000)*0.1+MAX(0,MIN(A67,750000)-400000)*0.125+MAX(0,MIN(A67,1500000)-750000)*0.15+MAX(0,A67-1500000)*0.17),(MAX(0,MIN(A67,400000)-225000)*0.06+MAX(0,MIN(A67,750000)-400000)*0.075+MAX(0,MIN(A67,1500000)-750000)*0.1+MAX(0,A67-1500000)*0.12))),0)))))+(Inputs!B14+Inputs!B15+Inputs!B16+Inputs!B17)+(Summary!B14)+(Summary!B15)+(((((A67)*Inputs!B20)+(IF(Inputs!B24="Yes",(Summary!B14)*Inputs!B25,0))*Inputs!B26)*Inputs!B21*Inputs!B10/12)+((((A67)*Inputs!B20)+(IF(Inputs!B24="Yes",(Summary!B14)*Inputs!B25,0)))*Inputs!B22)+((((A67)*Inputs!B20)+(IF(Inputs!B24="Yes",(Summary!B14)*Inputs!B25,0)))*Inputs!B23))+(Summary!B17)))</f>
        <v>-151250</v>
      </c>
      <c r="C67" t="str">
        <f t="shared" si="1"/>
        <v/>
      </c>
    </row>
    <row r="68" spans="1:3" x14ac:dyDescent="0.2">
      <c r="A68" s="16">
        <f>$B$5+(57)*$B$7</f>
        <v>385000</v>
      </c>
      <c r="B68" s="16">
        <f>IF(A68&gt;$B$6,"",(Inputs!B6)-((A68)+(IF(Inputs!D13&lt;&gt;"",Inputs!D13,IF(Inputs!B7="England &amp; N. Ireland",(IF(Inputs!B8="First-time buyer",(IF(A68&lt;=500000,MAX(0,A68-300000)*0.05,(MAX(0,MIN(A68,250000)-125000)*0.02+MAX(0,MIN(A68,925000)-250000)*0.05+MAX(0,MIN(A68,1500000)-925000)*0.1+MAX(0,A68-1500000)*0.12))),(MAX(0,MIN(A68,250000)-125000)*0.02+MAX(0,MIN(A68,925000)-250000)*0.05+MAX(0,MIN(A68,1500000)-925000)*0.1+MAX(0,A68-1500000)*0.12)+IF(Inputs!B8="Additional / Investor",0.05*A68,0)+IF(Inputs!B9="Yes",0.02*A68,0))),IF(Inputs!B7="Scotland",((MAX(0,MIN(A68,250000)-145000)*0.02+MAX(0,MIN(A68,325000)-250000)*0.05+MAX(0,MIN(A68,750000)-325000)*0.1+MAX(0,A68-750000)*0.12)-IF(Inputs!B8="First-time buyer",(IF(A68&gt;145000,MIN(600,0.02*(MIN(A68,175000)-145000)),0)),0)+IF(Inputs!B8="Additional / Investor",0.08*A68,0)),IF(Inputs!B7="Wales",(IF(Inputs!B8="Additional / Investor",(MIN(A68,180000)*0.05+MAX(0,MIN(A68,250000)-180000)*0.085+MAX(0,MIN(A68,400000)-250000)*0.1+MAX(0,MIN(A68,750000)-400000)*0.125+MAX(0,MIN(A68,1500000)-750000)*0.15+MAX(0,A68-1500000)*0.17),(MAX(0,MIN(A68,400000)-225000)*0.06+MAX(0,MIN(A68,750000)-400000)*0.075+MAX(0,MIN(A68,1500000)-750000)*0.1+MAX(0,A68-1500000)*0.12))),0)))))+(Inputs!B14+Inputs!B15+Inputs!B16+Inputs!B17)+(Summary!B14)+(Summary!B15)+(((((A68)*Inputs!B20)+(IF(Inputs!B24="Yes",(Summary!B14)*Inputs!B25,0))*Inputs!B26)*Inputs!B21*Inputs!B10/12)+((((A68)*Inputs!B20)+(IF(Inputs!B24="Yes",(Summary!B14)*Inputs!B25,0)))*Inputs!B22)+((((A68)*Inputs!B20)+(IF(Inputs!B24="Yes",(Summary!B14)*Inputs!B25,0)))*Inputs!B23))+(Summary!B17)))</f>
        <v>-157087.5</v>
      </c>
      <c r="C68" t="str">
        <f t="shared" si="1"/>
        <v/>
      </c>
    </row>
    <row r="69" spans="1:3" x14ac:dyDescent="0.2">
      <c r="A69" s="16">
        <f>$B$5+(58)*$B$7</f>
        <v>390000</v>
      </c>
      <c r="B69" s="16">
        <f>IF(A69&gt;$B$6,"",(Inputs!B6)-((A69)+(IF(Inputs!D13&lt;&gt;"",Inputs!D13,IF(Inputs!B7="England &amp; N. Ireland",(IF(Inputs!B8="First-time buyer",(IF(A69&lt;=500000,MAX(0,A69-300000)*0.05,(MAX(0,MIN(A69,250000)-125000)*0.02+MAX(0,MIN(A69,925000)-250000)*0.05+MAX(0,MIN(A69,1500000)-925000)*0.1+MAX(0,A69-1500000)*0.12))),(MAX(0,MIN(A69,250000)-125000)*0.02+MAX(0,MIN(A69,925000)-250000)*0.05+MAX(0,MIN(A69,1500000)-925000)*0.1+MAX(0,A69-1500000)*0.12)+IF(Inputs!B8="Additional / Investor",0.05*A69,0)+IF(Inputs!B9="Yes",0.02*A69,0))),IF(Inputs!B7="Scotland",((MAX(0,MIN(A69,250000)-145000)*0.02+MAX(0,MIN(A69,325000)-250000)*0.05+MAX(0,MIN(A69,750000)-325000)*0.1+MAX(0,A69-750000)*0.12)-IF(Inputs!B8="First-time buyer",(IF(A69&gt;145000,MIN(600,0.02*(MIN(A69,175000)-145000)),0)),0)+IF(Inputs!B8="Additional / Investor",0.08*A69,0)),IF(Inputs!B7="Wales",(IF(Inputs!B8="Additional / Investor",(MIN(A69,180000)*0.05+MAX(0,MIN(A69,250000)-180000)*0.085+MAX(0,MIN(A69,400000)-250000)*0.1+MAX(0,MIN(A69,750000)-400000)*0.125+MAX(0,MIN(A69,1500000)-750000)*0.15+MAX(0,A69-1500000)*0.17),(MAX(0,MIN(A69,400000)-225000)*0.06+MAX(0,MIN(A69,750000)-400000)*0.075+MAX(0,MIN(A69,1500000)-750000)*0.1+MAX(0,A69-1500000)*0.12))),0)))))+(Inputs!B14+Inputs!B15+Inputs!B16+Inputs!B17)+(Summary!B14)+(Summary!B15)+(((((A69)*Inputs!B20)+(IF(Inputs!B24="Yes",(Summary!B14)*Inputs!B25,0))*Inputs!B26)*Inputs!B21*Inputs!B10/12)+((((A69)*Inputs!B20)+(IF(Inputs!B24="Yes",(Summary!B14)*Inputs!B25,0)))*Inputs!B22)+((((A69)*Inputs!B20)+(IF(Inputs!B24="Yes",(Summary!B14)*Inputs!B25,0)))*Inputs!B23))+(Summary!B17)))</f>
        <v>-162925</v>
      </c>
      <c r="C69" t="str">
        <f t="shared" si="1"/>
        <v/>
      </c>
    </row>
    <row r="70" spans="1:3" x14ac:dyDescent="0.2">
      <c r="A70" s="16">
        <f>$B$5+(59)*$B$7</f>
        <v>395000</v>
      </c>
      <c r="B70" s="16">
        <f>IF(A70&gt;$B$6,"",(Inputs!B6)-((A70)+(IF(Inputs!D13&lt;&gt;"",Inputs!D13,IF(Inputs!B7="England &amp; N. Ireland",(IF(Inputs!B8="First-time buyer",(IF(A70&lt;=500000,MAX(0,A70-300000)*0.05,(MAX(0,MIN(A70,250000)-125000)*0.02+MAX(0,MIN(A70,925000)-250000)*0.05+MAX(0,MIN(A70,1500000)-925000)*0.1+MAX(0,A70-1500000)*0.12))),(MAX(0,MIN(A70,250000)-125000)*0.02+MAX(0,MIN(A70,925000)-250000)*0.05+MAX(0,MIN(A70,1500000)-925000)*0.1+MAX(0,A70-1500000)*0.12)+IF(Inputs!B8="Additional / Investor",0.05*A70,0)+IF(Inputs!B9="Yes",0.02*A70,0))),IF(Inputs!B7="Scotland",((MAX(0,MIN(A70,250000)-145000)*0.02+MAX(0,MIN(A70,325000)-250000)*0.05+MAX(0,MIN(A70,750000)-325000)*0.1+MAX(0,A70-750000)*0.12)-IF(Inputs!B8="First-time buyer",(IF(A70&gt;145000,MIN(600,0.02*(MIN(A70,175000)-145000)),0)),0)+IF(Inputs!B8="Additional / Investor",0.08*A70,0)),IF(Inputs!B7="Wales",(IF(Inputs!B8="Additional / Investor",(MIN(A70,180000)*0.05+MAX(0,MIN(A70,250000)-180000)*0.085+MAX(0,MIN(A70,400000)-250000)*0.1+MAX(0,MIN(A70,750000)-400000)*0.125+MAX(0,MIN(A70,1500000)-750000)*0.15+MAX(0,A70-1500000)*0.17),(MAX(0,MIN(A70,400000)-225000)*0.06+MAX(0,MIN(A70,750000)-400000)*0.075+MAX(0,MIN(A70,1500000)-750000)*0.1+MAX(0,A70-1500000)*0.12))),0)))))+(Inputs!B14+Inputs!B15+Inputs!B16+Inputs!B17)+(Summary!B14)+(Summary!B15)+(((((A70)*Inputs!B20)+(IF(Inputs!B24="Yes",(Summary!B14)*Inputs!B25,0))*Inputs!B26)*Inputs!B21*Inputs!B10/12)+((((A70)*Inputs!B20)+(IF(Inputs!B24="Yes",(Summary!B14)*Inputs!B25,0)))*Inputs!B22)+((((A70)*Inputs!B20)+(IF(Inputs!B24="Yes",(Summary!B14)*Inputs!B25,0)))*Inputs!B23))+(Summary!B17)))</f>
        <v>-168762.5</v>
      </c>
      <c r="C70" t="str">
        <f t="shared" si="1"/>
        <v/>
      </c>
    </row>
    <row r="71" spans="1:3" x14ac:dyDescent="0.2">
      <c r="A71" s="16">
        <f>$B$5+(60)*$B$7</f>
        <v>400000</v>
      </c>
      <c r="B71" s="16">
        <f>IF(A71&gt;$B$6,"",(Inputs!B6)-((A71)+(IF(Inputs!D13&lt;&gt;"",Inputs!D13,IF(Inputs!B7="England &amp; N. Ireland",(IF(Inputs!B8="First-time buyer",(IF(A71&lt;=500000,MAX(0,A71-300000)*0.05,(MAX(0,MIN(A71,250000)-125000)*0.02+MAX(0,MIN(A71,925000)-250000)*0.05+MAX(0,MIN(A71,1500000)-925000)*0.1+MAX(0,A71-1500000)*0.12))),(MAX(0,MIN(A71,250000)-125000)*0.02+MAX(0,MIN(A71,925000)-250000)*0.05+MAX(0,MIN(A71,1500000)-925000)*0.1+MAX(0,A71-1500000)*0.12)+IF(Inputs!B8="Additional / Investor",0.05*A71,0)+IF(Inputs!B9="Yes",0.02*A71,0))),IF(Inputs!B7="Scotland",((MAX(0,MIN(A71,250000)-145000)*0.02+MAX(0,MIN(A71,325000)-250000)*0.05+MAX(0,MIN(A71,750000)-325000)*0.1+MAX(0,A71-750000)*0.12)-IF(Inputs!B8="First-time buyer",(IF(A71&gt;145000,MIN(600,0.02*(MIN(A71,175000)-145000)),0)),0)+IF(Inputs!B8="Additional / Investor",0.08*A71,0)),IF(Inputs!B7="Wales",(IF(Inputs!B8="Additional / Investor",(MIN(A71,180000)*0.05+MAX(0,MIN(A71,250000)-180000)*0.085+MAX(0,MIN(A71,400000)-250000)*0.1+MAX(0,MIN(A71,750000)-400000)*0.125+MAX(0,MIN(A71,1500000)-750000)*0.15+MAX(0,A71-1500000)*0.17),(MAX(0,MIN(A71,400000)-225000)*0.06+MAX(0,MIN(A71,750000)-400000)*0.075+MAX(0,MIN(A71,1500000)-750000)*0.1+MAX(0,A71-1500000)*0.12))),0)))))+(Inputs!B14+Inputs!B15+Inputs!B16+Inputs!B17)+(Summary!B14)+(Summary!B15)+(((((A71)*Inputs!B20)+(IF(Inputs!B24="Yes",(Summary!B14)*Inputs!B25,0))*Inputs!B26)*Inputs!B21*Inputs!B10/12)+((((A71)*Inputs!B20)+(IF(Inputs!B24="Yes",(Summary!B14)*Inputs!B25,0)))*Inputs!B22)+((((A71)*Inputs!B20)+(IF(Inputs!B24="Yes",(Summary!B14)*Inputs!B25,0)))*Inputs!B23))+(Summary!B17)))</f>
        <v>-174600</v>
      </c>
      <c r="C71" t="str">
        <f t="shared" si="1"/>
        <v/>
      </c>
    </row>
    <row r="72" spans="1:3" x14ac:dyDescent="0.2">
      <c r="A72" s="16">
        <f>$B$5+(61)*$B$7</f>
        <v>405000</v>
      </c>
      <c r="B72" s="16">
        <f>IF(A72&gt;$B$6,"",(Inputs!B6)-((A72)+(IF(Inputs!D13&lt;&gt;"",Inputs!D13,IF(Inputs!B7="England &amp; N. Ireland",(IF(Inputs!B8="First-time buyer",(IF(A72&lt;=500000,MAX(0,A72-300000)*0.05,(MAX(0,MIN(A72,250000)-125000)*0.02+MAX(0,MIN(A72,925000)-250000)*0.05+MAX(0,MIN(A72,1500000)-925000)*0.1+MAX(0,A72-1500000)*0.12))),(MAX(0,MIN(A72,250000)-125000)*0.02+MAX(0,MIN(A72,925000)-250000)*0.05+MAX(0,MIN(A72,1500000)-925000)*0.1+MAX(0,A72-1500000)*0.12)+IF(Inputs!B8="Additional / Investor",0.05*A72,0)+IF(Inputs!B9="Yes",0.02*A72,0))),IF(Inputs!B7="Scotland",((MAX(0,MIN(A72,250000)-145000)*0.02+MAX(0,MIN(A72,325000)-250000)*0.05+MAX(0,MIN(A72,750000)-325000)*0.1+MAX(0,A72-750000)*0.12)-IF(Inputs!B8="First-time buyer",(IF(A72&gt;145000,MIN(600,0.02*(MIN(A72,175000)-145000)),0)),0)+IF(Inputs!B8="Additional / Investor",0.08*A72,0)),IF(Inputs!B7="Wales",(IF(Inputs!B8="Additional / Investor",(MIN(A72,180000)*0.05+MAX(0,MIN(A72,250000)-180000)*0.085+MAX(0,MIN(A72,400000)-250000)*0.1+MAX(0,MIN(A72,750000)-400000)*0.125+MAX(0,MIN(A72,1500000)-750000)*0.15+MAX(0,A72-1500000)*0.17),(MAX(0,MIN(A72,400000)-225000)*0.06+MAX(0,MIN(A72,750000)-400000)*0.075+MAX(0,MIN(A72,1500000)-750000)*0.1+MAX(0,A72-1500000)*0.12))),0)))))+(Inputs!B14+Inputs!B15+Inputs!B16+Inputs!B17)+(Summary!B14)+(Summary!B15)+(((((A72)*Inputs!B20)+(IF(Inputs!B24="Yes",(Summary!B14)*Inputs!B25,0))*Inputs!B26)*Inputs!B21*Inputs!B10/12)+((((A72)*Inputs!B20)+(IF(Inputs!B24="Yes",(Summary!B14)*Inputs!B25,0)))*Inputs!B22)+((((A72)*Inputs!B20)+(IF(Inputs!B24="Yes",(Summary!B14)*Inputs!B25,0)))*Inputs!B23))+(Summary!B17)))</f>
        <v>-180437.5</v>
      </c>
      <c r="C72" t="str">
        <f t="shared" si="1"/>
        <v/>
      </c>
    </row>
    <row r="73" spans="1:3" x14ac:dyDescent="0.2">
      <c r="A73" s="16">
        <f>$B$5+(62)*$B$7</f>
        <v>410000</v>
      </c>
      <c r="B73" s="16">
        <f>IF(A73&gt;$B$6,"",(Inputs!B6)-((A73)+(IF(Inputs!D13&lt;&gt;"",Inputs!D13,IF(Inputs!B7="England &amp; N. Ireland",(IF(Inputs!B8="First-time buyer",(IF(A73&lt;=500000,MAX(0,A73-300000)*0.05,(MAX(0,MIN(A73,250000)-125000)*0.02+MAX(0,MIN(A73,925000)-250000)*0.05+MAX(0,MIN(A73,1500000)-925000)*0.1+MAX(0,A73-1500000)*0.12))),(MAX(0,MIN(A73,250000)-125000)*0.02+MAX(0,MIN(A73,925000)-250000)*0.05+MAX(0,MIN(A73,1500000)-925000)*0.1+MAX(0,A73-1500000)*0.12)+IF(Inputs!B8="Additional / Investor",0.05*A73,0)+IF(Inputs!B9="Yes",0.02*A73,0))),IF(Inputs!B7="Scotland",((MAX(0,MIN(A73,250000)-145000)*0.02+MAX(0,MIN(A73,325000)-250000)*0.05+MAX(0,MIN(A73,750000)-325000)*0.1+MAX(0,A73-750000)*0.12)-IF(Inputs!B8="First-time buyer",(IF(A73&gt;145000,MIN(600,0.02*(MIN(A73,175000)-145000)),0)),0)+IF(Inputs!B8="Additional / Investor",0.08*A73,0)),IF(Inputs!B7="Wales",(IF(Inputs!B8="Additional / Investor",(MIN(A73,180000)*0.05+MAX(0,MIN(A73,250000)-180000)*0.085+MAX(0,MIN(A73,400000)-250000)*0.1+MAX(0,MIN(A73,750000)-400000)*0.125+MAX(0,MIN(A73,1500000)-750000)*0.15+MAX(0,A73-1500000)*0.17),(MAX(0,MIN(A73,400000)-225000)*0.06+MAX(0,MIN(A73,750000)-400000)*0.075+MAX(0,MIN(A73,1500000)-750000)*0.1+MAX(0,A73-1500000)*0.12))),0)))))+(Inputs!B14+Inputs!B15+Inputs!B16+Inputs!B17)+(Summary!B14)+(Summary!B15)+(((((A73)*Inputs!B20)+(IF(Inputs!B24="Yes",(Summary!B14)*Inputs!B25,0))*Inputs!B26)*Inputs!B21*Inputs!B10/12)+((((A73)*Inputs!B20)+(IF(Inputs!B24="Yes",(Summary!B14)*Inputs!B25,0)))*Inputs!B22)+((((A73)*Inputs!B20)+(IF(Inputs!B24="Yes",(Summary!B14)*Inputs!B25,0)))*Inputs!B23))+(Summary!B17)))</f>
        <v>-186275</v>
      </c>
      <c r="C73" t="str">
        <f t="shared" si="1"/>
        <v/>
      </c>
    </row>
    <row r="74" spans="1:3" x14ac:dyDescent="0.2">
      <c r="A74" s="16">
        <f>$B$5+(63)*$B$7</f>
        <v>415000</v>
      </c>
      <c r="B74" s="16">
        <f>IF(A74&gt;$B$6,"",(Inputs!B6)-((A74)+(IF(Inputs!D13&lt;&gt;"",Inputs!D13,IF(Inputs!B7="England &amp; N. Ireland",(IF(Inputs!B8="First-time buyer",(IF(A74&lt;=500000,MAX(0,A74-300000)*0.05,(MAX(0,MIN(A74,250000)-125000)*0.02+MAX(0,MIN(A74,925000)-250000)*0.05+MAX(0,MIN(A74,1500000)-925000)*0.1+MAX(0,A74-1500000)*0.12))),(MAX(0,MIN(A74,250000)-125000)*0.02+MAX(0,MIN(A74,925000)-250000)*0.05+MAX(0,MIN(A74,1500000)-925000)*0.1+MAX(0,A74-1500000)*0.12)+IF(Inputs!B8="Additional / Investor",0.05*A74,0)+IF(Inputs!B9="Yes",0.02*A74,0))),IF(Inputs!B7="Scotland",((MAX(0,MIN(A74,250000)-145000)*0.02+MAX(0,MIN(A74,325000)-250000)*0.05+MAX(0,MIN(A74,750000)-325000)*0.1+MAX(0,A74-750000)*0.12)-IF(Inputs!B8="First-time buyer",(IF(A74&gt;145000,MIN(600,0.02*(MIN(A74,175000)-145000)),0)),0)+IF(Inputs!B8="Additional / Investor",0.08*A74,0)),IF(Inputs!B7="Wales",(IF(Inputs!B8="Additional / Investor",(MIN(A74,180000)*0.05+MAX(0,MIN(A74,250000)-180000)*0.085+MAX(0,MIN(A74,400000)-250000)*0.1+MAX(0,MIN(A74,750000)-400000)*0.125+MAX(0,MIN(A74,1500000)-750000)*0.15+MAX(0,A74-1500000)*0.17),(MAX(0,MIN(A74,400000)-225000)*0.06+MAX(0,MIN(A74,750000)-400000)*0.075+MAX(0,MIN(A74,1500000)-750000)*0.1+MAX(0,A74-1500000)*0.12))),0)))))+(Inputs!B14+Inputs!B15+Inputs!B16+Inputs!B17)+(Summary!B14)+(Summary!B15)+(((((A74)*Inputs!B20)+(IF(Inputs!B24="Yes",(Summary!B14)*Inputs!B25,0))*Inputs!B26)*Inputs!B21*Inputs!B10/12)+((((A74)*Inputs!B20)+(IF(Inputs!B24="Yes",(Summary!B14)*Inputs!B25,0)))*Inputs!B22)+((((A74)*Inputs!B20)+(IF(Inputs!B24="Yes",(Summary!B14)*Inputs!B25,0)))*Inputs!B23))+(Summary!B17)))</f>
        <v>-192112.5</v>
      </c>
      <c r="C74" t="str">
        <f t="shared" si="1"/>
        <v/>
      </c>
    </row>
    <row r="75" spans="1:3" x14ac:dyDescent="0.2">
      <c r="A75" s="16">
        <f>$B$5+(64)*$B$7</f>
        <v>420000</v>
      </c>
      <c r="B75" s="16">
        <f>IF(A75&gt;$B$6,"",(Inputs!B6)-((A75)+(IF(Inputs!D13&lt;&gt;"",Inputs!D13,IF(Inputs!B7="England &amp; N. Ireland",(IF(Inputs!B8="First-time buyer",(IF(A75&lt;=500000,MAX(0,A75-300000)*0.05,(MAX(0,MIN(A75,250000)-125000)*0.02+MAX(0,MIN(A75,925000)-250000)*0.05+MAX(0,MIN(A75,1500000)-925000)*0.1+MAX(0,A75-1500000)*0.12))),(MAX(0,MIN(A75,250000)-125000)*0.02+MAX(0,MIN(A75,925000)-250000)*0.05+MAX(0,MIN(A75,1500000)-925000)*0.1+MAX(0,A75-1500000)*0.12)+IF(Inputs!B8="Additional / Investor",0.05*A75,0)+IF(Inputs!B9="Yes",0.02*A75,0))),IF(Inputs!B7="Scotland",((MAX(0,MIN(A75,250000)-145000)*0.02+MAX(0,MIN(A75,325000)-250000)*0.05+MAX(0,MIN(A75,750000)-325000)*0.1+MAX(0,A75-750000)*0.12)-IF(Inputs!B8="First-time buyer",(IF(A75&gt;145000,MIN(600,0.02*(MIN(A75,175000)-145000)),0)),0)+IF(Inputs!B8="Additional / Investor",0.08*A75,0)),IF(Inputs!B7="Wales",(IF(Inputs!B8="Additional / Investor",(MIN(A75,180000)*0.05+MAX(0,MIN(A75,250000)-180000)*0.085+MAX(0,MIN(A75,400000)-250000)*0.1+MAX(0,MIN(A75,750000)-400000)*0.125+MAX(0,MIN(A75,1500000)-750000)*0.15+MAX(0,A75-1500000)*0.17),(MAX(0,MIN(A75,400000)-225000)*0.06+MAX(0,MIN(A75,750000)-400000)*0.075+MAX(0,MIN(A75,1500000)-750000)*0.1+MAX(0,A75-1500000)*0.12))),0)))))+(Inputs!B14+Inputs!B15+Inputs!B16+Inputs!B17)+(Summary!B14)+(Summary!B15)+(((((A75)*Inputs!B20)+(IF(Inputs!B24="Yes",(Summary!B14)*Inputs!B25,0))*Inputs!B26)*Inputs!B21*Inputs!B10/12)+((((A75)*Inputs!B20)+(IF(Inputs!B24="Yes",(Summary!B14)*Inputs!B25,0)))*Inputs!B22)+((((A75)*Inputs!B20)+(IF(Inputs!B24="Yes",(Summary!B14)*Inputs!B25,0)))*Inputs!B23))+(Summary!B17)))</f>
        <v>-197950</v>
      </c>
      <c r="C75" t="str">
        <f t="shared" ref="C75:C106" si="2">IF(A75&gt;$B$6,"","")</f>
        <v/>
      </c>
    </row>
    <row r="76" spans="1:3" x14ac:dyDescent="0.2">
      <c r="A76" s="16">
        <f>$B$5+(65)*$B$7</f>
        <v>425000</v>
      </c>
      <c r="B76" s="16">
        <f>IF(A76&gt;$B$6,"",(Inputs!B6)-((A76)+(IF(Inputs!D13&lt;&gt;"",Inputs!D13,IF(Inputs!B7="England &amp; N. Ireland",(IF(Inputs!B8="First-time buyer",(IF(A76&lt;=500000,MAX(0,A76-300000)*0.05,(MAX(0,MIN(A76,250000)-125000)*0.02+MAX(0,MIN(A76,925000)-250000)*0.05+MAX(0,MIN(A76,1500000)-925000)*0.1+MAX(0,A76-1500000)*0.12))),(MAX(0,MIN(A76,250000)-125000)*0.02+MAX(0,MIN(A76,925000)-250000)*0.05+MAX(0,MIN(A76,1500000)-925000)*0.1+MAX(0,A76-1500000)*0.12)+IF(Inputs!B8="Additional / Investor",0.05*A76,0)+IF(Inputs!B9="Yes",0.02*A76,0))),IF(Inputs!B7="Scotland",((MAX(0,MIN(A76,250000)-145000)*0.02+MAX(0,MIN(A76,325000)-250000)*0.05+MAX(0,MIN(A76,750000)-325000)*0.1+MAX(0,A76-750000)*0.12)-IF(Inputs!B8="First-time buyer",(IF(A76&gt;145000,MIN(600,0.02*(MIN(A76,175000)-145000)),0)),0)+IF(Inputs!B8="Additional / Investor",0.08*A76,0)),IF(Inputs!B7="Wales",(IF(Inputs!B8="Additional / Investor",(MIN(A76,180000)*0.05+MAX(0,MIN(A76,250000)-180000)*0.085+MAX(0,MIN(A76,400000)-250000)*0.1+MAX(0,MIN(A76,750000)-400000)*0.125+MAX(0,MIN(A76,1500000)-750000)*0.15+MAX(0,A76-1500000)*0.17),(MAX(0,MIN(A76,400000)-225000)*0.06+MAX(0,MIN(A76,750000)-400000)*0.075+MAX(0,MIN(A76,1500000)-750000)*0.1+MAX(0,A76-1500000)*0.12))),0)))))+(Inputs!B14+Inputs!B15+Inputs!B16+Inputs!B17)+(Summary!B14)+(Summary!B15)+(((((A76)*Inputs!B20)+(IF(Inputs!B24="Yes",(Summary!B14)*Inputs!B25,0))*Inputs!B26)*Inputs!B21*Inputs!B10/12)+((((A76)*Inputs!B20)+(IF(Inputs!B24="Yes",(Summary!B14)*Inputs!B25,0)))*Inputs!B22)+((((A76)*Inputs!B20)+(IF(Inputs!B24="Yes",(Summary!B14)*Inputs!B25,0)))*Inputs!B23))+(Summary!B17)))</f>
        <v>-203787.5</v>
      </c>
      <c r="C76" t="str">
        <f t="shared" si="2"/>
        <v/>
      </c>
    </row>
    <row r="77" spans="1:3" x14ac:dyDescent="0.2">
      <c r="A77" s="16">
        <f>$B$5+(66)*$B$7</f>
        <v>430000</v>
      </c>
      <c r="B77" s="16">
        <f>IF(A77&gt;$B$6,"",(Inputs!B6)-((A77)+(IF(Inputs!D13&lt;&gt;"",Inputs!D13,IF(Inputs!B7="England &amp; N. Ireland",(IF(Inputs!B8="First-time buyer",(IF(A77&lt;=500000,MAX(0,A77-300000)*0.05,(MAX(0,MIN(A77,250000)-125000)*0.02+MAX(0,MIN(A77,925000)-250000)*0.05+MAX(0,MIN(A77,1500000)-925000)*0.1+MAX(0,A77-1500000)*0.12))),(MAX(0,MIN(A77,250000)-125000)*0.02+MAX(0,MIN(A77,925000)-250000)*0.05+MAX(0,MIN(A77,1500000)-925000)*0.1+MAX(0,A77-1500000)*0.12)+IF(Inputs!B8="Additional / Investor",0.05*A77,0)+IF(Inputs!B9="Yes",0.02*A77,0))),IF(Inputs!B7="Scotland",((MAX(0,MIN(A77,250000)-145000)*0.02+MAX(0,MIN(A77,325000)-250000)*0.05+MAX(0,MIN(A77,750000)-325000)*0.1+MAX(0,A77-750000)*0.12)-IF(Inputs!B8="First-time buyer",(IF(A77&gt;145000,MIN(600,0.02*(MIN(A77,175000)-145000)),0)),0)+IF(Inputs!B8="Additional / Investor",0.08*A77,0)),IF(Inputs!B7="Wales",(IF(Inputs!B8="Additional / Investor",(MIN(A77,180000)*0.05+MAX(0,MIN(A77,250000)-180000)*0.085+MAX(0,MIN(A77,400000)-250000)*0.1+MAX(0,MIN(A77,750000)-400000)*0.125+MAX(0,MIN(A77,1500000)-750000)*0.15+MAX(0,A77-1500000)*0.17),(MAX(0,MIN(A77,400000)-225000)*0.06+MAX(0,MIN(A77,750000)-400000)*0.075+MAX(0,MIN(A77,1500000)-750000)*0.1+MAX(0,A77-1500000)*0.12))),0)))))+(Inputs!B14+Inputs!B15+Inputs!B16+Inputs!B17)+(Summary!B14)+(Summary!B15)+(((((A77)*Inputs!B20)+(IF(Inputs!B24="Yes",(Summary!B14)*Inputs!B25,0))*Inputs!B26)*Inputs!B21*Inputs!B10/12)+((((A77)*Inputs!B20)+(IF(Inputs!B24="Yes",(Summary!B14)*Inputs!B25,0)))*Inputs!B22)+((((A77)*Inputs!B20)+(IF(Inputs!B24="Yes",(Summary!B14)*Inputs!B25,0)))*Inputs!B23))+(Summary!B17)))</f>
        <v>-209625</v>
      </c>
      <c r="C77" t="str">
        <f t="shared" si="2"/>
        <v/>
      </c>
    </row>
    <row r="78" spans="1:3" x14ac:dyDescent="0.2">
      <c r="A78" s="16">
        <f>$B$5+(67)*$B$7</f>
        <v>435000</v>
      </c>
      <c r="B78" s="16">
        <f>IF(A78&gt;$B$6,"",(Inputs!B6)-((A78)+(IF(Inputs!D13&lt;&gt;"",Inputs!D13,IF(Inputs!B7="England &amp; N. Ireland",(IF(Inputs!B8="First-time buyer",(IF(A78&lt;=500000,MAX(0,A78-300000)*0.05,(MAX(0,MIN(A78,250000)-125000)*0.02+MAX(0,MIN(A78,925000)-250000)*0.05+MAX(0,MIN(A78,1500000)-925000)*0.1+MAX(0,A78-1500000)*0.12))),(MAX(0,MIN(A78,250000)-125000)*0.02+MAX(0,MIN(A78,925000)-250000)*0.05+MAX(0,MIN(A78,1500000)-925000)*0.1+MAX(0,A78-1500000)*0.12)+IF(Inputs!B8="Additional / Investor",0.05*A78,0)+IF(Inputs!B9="Yes",0.02*A78,0))),IF(Inputs!B7="Scotland",((MAX(0,MIN(A78,250000)-145000)*0.02+MAX(0,MIN(A78,325000)-250000)*0.05+MAX(0,MIN(A78,750000)-325000)*0.1+MAX(0,A78-750000)*0.12)-IF(Inputs!B8="First-time buyer",(IF(A78&gt;145000,MIN(600,0.02*(MIN(A78,175000)-145000)),0)),0)+IF(Inputs!B8="Additional / Investor",0.08*A78,0)),IF(Inputs!B7="Wales",(IF(Inputs!B8="Additional / Investor",(MIN(A78,180000)*0.05+MAX(0,MIN(A78,250000)-180000)*0.085+MAX(0,MIN(A78,400000)-250000)*0.1+MAX(0,MIN(A78,750000)-400000)*0.125+MAX(0,MIN(A78,1500000)-750000)*0.15+MAX(0,A78-1500000)*0.17),(MAX(0,MIN(A78,400000)-225000)*0.06+MAX(0,MIN(A78,750000)-400000)*0.075+MAX(0,MIN(A78,1500000)-750000)*0.1+MAX(0,A78-1500000)*0.12))),0)))))+(Inputs!B14+Inputs!B15+Inputs!B16+Inputs!B17)+(Summary!B14)+(Summary!B15)+(((((A78)*Inputs!B20)+(IF(Inputs!B24="Yes",(Summary!B14)*Inputs!B25,0))*Inputs!B26)*Inputs!B21*Inputs!B10/12)+((((A78)*Inputs!B20)+(IF(Inputs!B24="Yes",(Summary!B14)*Inputs!B25,0)))*Inputs!B22)+((((A78)*Inputs!B20)+(IF(Inputs!B24="Yes",(Summary!B14)*Inputs!B25,0)))*Inputs!B23))+(Summary!B17)))</f>
        <v>-215462.5</v>
      </c>
      <c r="C78" t="str">
        <f t="shared" si="2"/>
        <v/>
      </c>
    </row>
    <row r="79" spans="1:3" x14ac:dyDescent="0.2">
      <c r="A79" s="16">
        <f>$B$5+(68)*$B$7</f>
        <v>440000</v>
      </c>
      <c r="B79" s="16">
        <f>IF(A79&gt;$B$6,"",(Inputs!B6)-((A79)+(IF(Inputs!D13&lt;&gt;"",Inputs!D13,IF(Inputs!B7="England &amp; N. Ireland",(IF(Inputs!B8="First-time buyer",(IF(A79&lt;=500000,MAX(0,A79-300000)*0.05,(MAX(0,MIN(A79,250000)-125000)*0.02+MAX(0,MIN(A79,925000)-250000)*0.05+MAX(0,MIN(A79,1500000)-925000)*0.1+MAX(0,A79-1500000)*0.12))),(MAX(0,MIN(A79,250000)-125000)*0.02+MAX(0,MIN(A79,925000)-250000)*0.05+MAX(0,MIN(A79,1500000)-925000)*0.1+MAX(0,A79-1500000)*0.12)+IF(Inputs!B8="Additional / Investor",0.05*A79,0)+IF(Inputs!B9="Yes",0.02*A79,0))),IF(Inputs!B7="Scotland",((MAX(0,MIN(A79,250000)-145000)*0.02+MAX(0,MIN(A79,325000)-250000)*0.05+MAX(0,MIN(A79,750000)-325000)*0.1+MAX(0,A79-750000)*0.12)-IF(Inputs!B8="First-time buyer",(IF(A79&gt;145000,MIN(600,0.02*(MIN(A79,175000)-145000)),0)),0)+IF(Inputs!B8="Additional / Investor",0.08*A79,0)),IF(Inputs!B7="Wales",(IF(Inputs!B8="Additional / Investor",(MIN(A79,180000)*0.05+MAX(0,MIN(A79,250000)-180000)*0.085+MAX(0,MIN(A79,400000)-250000)*0.1+MAX(0,MIN(A79,750000)-400000)*0.125+MAX(0,MIN(A79,1500000)-750000)*0.15+MAX(0,A79-1500000)*0.17),(MAX(0,MIN(A79,400000)-225000)*0.06+MAX(0,MIN(A79,750000)-400000)*0.075+MAX(0,MIN(A79,1500000)-750000)*0.1+MAX(0,A79-1500000)*0.12))),0)))))+(Inputs!B14+Inputs!B15+Inputs!B16+Inputs!B17)+(Summary!B14)+(Summary!B15)+(((((A79)*Inputs!B20)+(IF(Inputs!B24="Yes",(Summary!B14)*Inputs!B25,0))*Inputs!B26)*Inputs!B21*Inputs!B10/12)+((((A79)*Inputs!B20)+(IF(Inputs!B24="Yes",(Summary!B14)*Inputs!B25,0)))*Inputs!B22)+((((A79)*Inputs!B20)+(IF(Inputs!B24="Yes",(Summary!B14)*Inputs!B25,0)))*Inputs!B23))+(Summary!B17)))</f>
        <v>-221300</v>
      </c>
      <c r="C79" t="str">
        <f t="shared" si="2"/>
        <v/>
      </c>
    </row>
    <row r="80" spans="1:3" x14ac:dyDescent="0.2">
      <c r="A80" s="16">
        <f>$B$5+(69)*$B$7</f>
        <v>445000</v>
      </c>
      <c r="B80" s="16">
        <f>IF(A80&gt;$B$6,"",(Inputs!B6)-((A80)+(IF(Inputs!D13&lt;&gt;"",Inputs!D13,IF(Inputs!B7="England &amp; N. Ireland",(IF(Inputs!B8="First-time buyer",(IF(A80&lt;=500000,MAX(0,A80-300000)*0.05,(MAX(0,MIN(A80,250000)-125000)*0.02+MAX(0,MIN(A80,925000)-250000)*0.05+MAX(0,MIN(A80,1500000)-925000)*0.1+MAX(0,A80-1500000)*0.12))),(MAX(0,MIN(A80,250000)-125000)*0.02+MAX(0,MIN(A80,925000)-250000)*0.05+MAX(0,MIN(A80,1500000)-925000)*0.1+MAX(0,A80-1500000)*0.12)+IF(Inputs!B8="Additional / Investor",0.05*A80,0)+IF(Inputs!B9="Yes",0.02*A80,0))),IF(Inputs!B7="Scotland",((MAX(0,MIN(A80,250000)-145000)*0.02+MAX(0,MIN(A80,325000)-250000)*0.05+MAX(0,MIN(A80,750000)-325000)*0.1+MAX(0,A80-750000)*0.12)-IF(Inputs!B8="First-time buyer",(IF(A80&gt;145000,MIN(600,0.02*(MIN(A80,175000)-145000)),0)),0)+IF(Inputs!B8="Additional / Investor",0.08*A80,0)),IF(Inputs!B7="Wales",(IF(Inputs!B8="Additional / Investor",(MIN(A80,180000)*0.05+MAX(0,MIN(A80,250000)-180000)*0.085+MAX(0,MIN(A80,400000)-250000)*0.1+MAX(0,MIN(A80,750000)-400000)*0.125+MAX(0,MIN(A80,1500000)-750000)*0.15+MAX(0,A80-1500000)*0.17),(MAX(0,MIN(A80,400000)-225000)*0.06+MAX(0,MIN(A80,750000)-400000)*0.075+MAX(0,MIN(A80,1500000)-750000)*0.1+MAX(0,A80-1500000)*0.12))),0)))))+(Inputs!B14+Inputs!B15+Inputs!B16+Inputs!B17)+(Summary!B14)+(Summary!B15)+(((((A80)*Inputs!B20)+(IF(Inputs!B24="Yes",(Summary!B14)*Inputs!B25,0))*Inputs!B26)*Inputs!B21*Inputs!B10/12)+((((A80)*Inputs!B20)+(IF(Inputs!B24="Yes",(Summary!B14)*Inputs!B25,0)))*Inputs!B22)+((((A80)*Inputs!B20)+(IF(Inputs!B24="Yes",(Summary!B14)*Inputs!B25,0)))*Inputs!B23))+(Summary!B17)))</f>
        <v>-227137.5</v>
      </c>
      <c r="C80" t="str">
        <f t="shared" si="2"/>
        <v/>
      </c>
    </row>
    <row r="81" spans="1:3" x14ac:dyDescent="0.2">
      <c r="A81" s="16">
        <f>$B$5+(70)*$B$7</f>
        <v>450000</v>
      </c>
      <c r="B81" s="16">
        <f>IF(A81&gt;$B$6,"",(Inputs!B6)-((A81)+(IF(Inputs!D13&lt;&gt;"",Inputs!D13,IF(Inputs!B7="England &amp; N. Ireland",(IF(Inputs!B8="First-time buyer",(IF(A81&lt;=500000,MAX(0,A81-300000)*0.05,(MAX(0,MIN(A81,250000)-125000)*0.02+MAX(0,MIN(A81,925000)-250000)*0.05+MAX(0,MIN(A81,1500000)-925000)*0.1+MAX(0,A81-1500000)*0.12))),(MAX(0,MIN(A81,250000)-125000)*0.02+MAX(0,MIN(A81,925000)-250000)*0.05+MAX(0,MIN(A81,1500000)-925000)*0.1+MAX(0,A81-1500000)*0.12)+IF(Inputs!B8="Additional / Investor",0.05*A81,0)+IF(Inputs!B9="Yes",0.02*A81,0))),IF(Inputs!B7="Scotland",((MAX(0,MIN(A81,250000)-145000)*0.02+MAX(0,MIN(A81,325000)-250000)*0.05+MAX(0,MIN(A81,750000)-325000)*0.1+MAX(0,A81-750000)*0.12)-IF(Inputs!B8="First-time buyer",(IF(A81&gt;145000,MIN(600,0.02*(MIN(A81,175000)-145000)),0)),0)+IF(Inputs!B8="Additional / Investor",0.08*A81,0)),IF(Inputs!B7="Wales",(IF(Inputs!B8="Additional / Investor",(MIN(A81,180000)*0.05+MAX(0,MIN(A81,250000)-180000)*0.085+MAX(0,MIN(A81,400000)-250000)*0.1+MAX(0,MIN(A81,750000)-400000)*0.125+MAX(0,MIN(A81,1500000)-750000)*0.15+MAX(0,A81-1500000)*0.17),(MAX(0,MIN(A81,400000)-225000)*0.06+MAX(0,MIN(A81,750000)-400000)*0.075+MAX(0,MIN(A81,1500000)-750000)*0.1+MAX(0,A81-1500000)*0.12))),0)))))+(Inputs!B14+Inputs!B15+Inputs!B16+Inputs!B17)+(Summary!B14)+(Summary!B15)+(((((A81)*Inputs!B20)+(IF(Inputs!B24="Yes",(Summary!B14)*Inputs!B25,0))*Inputs!B26)*Inputs!B21*Inputs!B10/12)+((((A81)*Inputs!B20)+(IF(Inputs!B24="Yes",(Summary!B14)*Inputs!B25,0)))*Inputs!B22)+((((A81)*Inputs!B20)+(IF(Inputs!B24="Yes",(Summary!B14)*Inputs!B25,0)))*Inputs!B23))+(Summary!B17)))</f>
        <v>-232975</v>
      </c>
      <c r="C81" t="str">
        <f t="shared" si="2"/>
        <v/>
      </c>
    </row>
    <row r="82" spans="1:3" x14ac:dyDescent="0.2">
      <c r="A82" s="16">
        <f>$B$5+(71)*$B$7</f>
        <v>455000</v>
      </c>
      <c r="B82" s="16">
        <f>IF(A82&gt;$B$6,"",(Inputs!B6)-((A82)+(IF(Inputs!D13&lt;&gt;"",Inputs!D13,IF(Inputs!B7="England &amp; N. Ireland",(IF(Inputs!B8="First-time buyer",(IF(A82&lt;=500000,MAX(0,A82-300000)*0.05,(MAX(0,MIN(A82,250000)-125000)*0.02+MAX(0,MIN(A82,925000)-250000)*0.05+MAX(0,MIN(A82,1500000)-925000)*0.1+MAX(0,A82-1500000)*0.12))),(MAX(0,MIN(A82,250000)-125000)*0.02+MAX(0,MIN(A82,925000)-250000)*0.05+MAX(0,MIN(A82,1500000)-925000)*0.1+MAX(0,A82-1500000)*0.12)+IF(Inputs!B8="Additional / Investor",0.05*A82,0)+IF(Inputs!B9="Yes",0.02*A82,0))),IF(Inputs!B7="Scotland",((MAX(0,MIN(A82,250000)-145000)*0.02+MAX(0,MIN(A82,325000)-250000)*0.05+MAX(0,MIN(A82,750000)-325000)*0.1+MAX(0,A82-750000)*0.12)-IF(Inputs!B8="First-time buyer",(IF(A82&gt;145000,MIN(600,0.02*(MIN(A82,175000)-145000)),0)),0)+IF(Inputs!B8="Additional / Investor",0.08*A82,0)),IF(Inputs!B7="Wales",(IF(Inputs!B8="Additional / Investor",(MIN(A82,180000)*0.05+MAX(0,MIN(A82,250000)-180000)*0.085+MAX(0,MIN(A82,400000)-250000)*0.1+MAX(0,MIN(A82,750000)-400000)*0.125+MAX(0,MIN(A82,1500000)-750000)*0.15+MAX(0,A82-1500000)*0.17),(MAX(0,MIN(A82,400000)-225000)*0.06+MAX(0,MIN(A82,750000)-400000)*0.075+MAX(0,MIN(A82,1500000)-750000)*0.1+MAX(0,A82-1500000)*0.12))),0)))))+(Inputs!B14+Inputs!B15+Inputs!B16+Inputs!B17)+(Summary!B14)+(Summary!B15)+(((((A82)*Inputs!B20)+(IF(Inputs!B24="Yes",(Summary!B14)*Inputs!B25,0))*Inputs!B26)*Inputs!B21*Inputs!B10/12)+((((A82)*Inputs!B20)+(IF(Inputs!B24="Yes",(Summary!B14)*Inputs!B25,0)))*Inputs!B22)+((((A82)*Inputs!B20)+(IF(Inputs!B24="Yes",(Summary!B14)*Inputs!B25,0)))*Inputs!B23))+(Summary!B17)))</f>
        <v>-238812.5</v>
      </c>
      <c r="C82" t="str">
        <f t="shared" si="2"/>
        <v/>
      </c>
    </row>
    <row r="83" spans="1:3" x14ac:dyDescent="0.2">
      <c r="A83" s="16">
        <f>$B$5+(72)*$B$7</f>
        <v>460000</v>
      </c>
      <c r="B83" s="16">
        <f>IF(A83&gt;$B$6,"",(Inputs!B6)-((A83)+(IF(Inputs!D13&lt;&gt;"",Inputs!D13,IF(Inputs!B7="England &amp; N. Ireland",(IF(Inputs!B8="First-time buyer",(IF(A83&lt;=500000,MAX(0,A83-300000)*0.05,(MAX(0,MIN(A83,250000)-125000)*0.02+MAX(0,MIN(A83,925000)-250000)*0.05+MAX(0,MIN(A83,1500000)-925000)*0.1+MAX(0,A83-1500000)*0.12))),(MAX(0,MIN(A83,250000)-125000)*0.02+MAX(0,MIN(A83,925000)-250000)*0.05+MAX(0,MIN(A83,1500000)-925000)*0.1+MAX(0,A83-1500000)*0.12)+IF(Inputs!B8="Additional / Investor",0.05*A83,0)+IF(Inputs!B9="Yes",0.02*A83,0))),IF(Inputs!B7="Scotland",((MAX(0,MIN(A83,250000)-145000)*0.02+MAX(0,MIN(A83,325000)-250000)*0.05+MAX(0,MIN(A83,750000)-325000)*0.1+MAX(0,A83-750000)*0.12)-IF(Inputs!B8="First-time buyer",(IF(A83&gt;145000,MIN(600,0.02*(MIN(A83,175000)-145000)),0)),0)+IF(Inputs!B8="Additional / Investor",0.08*A83,0)),IF(Inputs!B7="Wales",(IF(Inputs!B8="Additional / Investor",(MIN(A83,180000)*0.05+MAX(0,MIN(A83,250000)-180000)*0.085+MAX(0,MIN(A83,400000)-250000)*0.1+MAX(0,MIN(A83,750000)-400000)*0.125+MAX(0,MIN(A83,1500000)-750000)*0.15+MAX(0,A83-1500000)*0.17),(MAX(0,MIN(A83,400000)-225000)*0.06+MAX(0,MIN(A83,750000)-400000)*0.075+MAX(0,MIN(A83,1500000)-750000)*0.1+MAX(0,A83-1500000)*0.12))),0)))))+(Inputs!B14+Inputs!B15+Inputs!B16+Inputs!B17)+(Summary!B14)+(Summary!B15)+(((((A83)*Inputs!B20)+(IF(Inputs!B24="Yes",(Summary!B14)*Inputs!B25,0))*Inputs!B26)*Inputs!B21*Inputs!B10/12)+((((A83)*Inputs!B20)+(IF(Inputs!B24="Yes",(Summary!B14)*Inputs!B25,0)))*Inputs!B22)+((((A83)*Inputs!B20)+(IF(Inputs!B24="Yes",(Summary!B14)*Inputs!B25,0)))*Inputs!B23))+(Summary!B17)))</f>
        <v>-244650</v>
      </c>
      <c r="C83" t="str">
        <f t="shared" si="2"/>
        <v/>
      </c>
    </row>
    <row r="84" spans="1:3" x14ac:dyDescent="0.2">
      <c r="A84" s="16">
        <f>$B$5+(73)*$B$7</f>
        <v>465000</v>
      </c>
      <c r="B84" s="16">
        <f>IF(A84&gt;$B$6,"",(Inputs!B6)-((A84)+(IF(Inputs!D13&lt;&gt;"",Inputs!D13,IF(Inputs!B7="England &amp; N. Ireland",(IF(Inputs!B8="First-time buyer",(IF(A84&lt;=500000,MAX(0,A84-300000)*0.05,(MAX(0,MIN(A84,250000)-125000)*0.02+MAX(0,MIN(A84,925000)-250000)*0.05+MAX(0,MIN(A84,1500000)-925000)*0.1+MAX(0,A84-1500000)*0.12))),(MAX(0,MIN(A84,250000)-125000)*0.02+MAX(0,MIN(A84,925000)-250000)*0.05+MAX(0,MIN(A84,1500000)-925000)*0.1+MAX(0,A84-1500000)*0.12)+IF(Inputs!B8="Additional / Investor",0.05*A84,0)+IF(Inputs!B9="Yes",0.02*A84,0))),IF(Inputs!B7="Scotland",((MAX(0,MIN(A84,250000)-145000)*0.02+MAX(0,MIN(A84,325000)-250000)*0.05+MAX(0,MIN(A84,750000)-325000)*0.1+MAX(0,A84-750000)*0.12)-IF(Inputs!B8="First-time buyer",(IF(A84&gt;145000,MIN(600,0.02*(MIN(A84,175000)-145000)),0)),0)+IF(Inputs!B8="Additional / Investor",0.08*A84,0)),IF(Inputs!B7="Wales",(IF(Inputs!B8="Additional / Investor",(MIN(A84,180000)*0.05+MAX(0,MIN(A84,250000)-180000)*0.085+MAX(0,MIN(A84,400000)-250000)*0.1+MAX(0,MIN(A84,750000)-400000)*0.125+MAX(0,MIN(A84,1500000)-750000)*0.15+MAX(0,A84-1500000)*0.17),(MAX(0,MIN(A84,400000)-225000)*0.06+MAX(0,MIN(A84,750000)-400000)*0.075+MAX(0,MIN(A84,1500000)-750000)*0.1+MAX(0,A84-1500000)*0.12))),0)))))+(Inputs!B14+Inputs!B15+Inputs!B16+Inputs!B17)+(Summary!B14)+(Summary!B15)+(((((A84)*Inputs!B20)+(IF(Inputs!B24="Yes",(Summary!B14)*Inputs!B25,0))*Inputs!B26)*Inputs!B21*Inputs!B10/12)+((((A84)*Inputs!B20)+(IF(Inputs!B24="Yes",(Summary!B14)*Inputs!B25,0)))*Inputs!B22)+((((A84)*Inputs!B20)+(IF(Inputs!B24="Yes",(Summary!B14)*Inputs!B25,0)))*Inputs!B23))+(Summary!B17)))</f>
        <v>-250487.5</v>
      </c>
      <c r="C84" t="str">
        <f t="shared" si="2"/>
        <v/>
      </c>
    </row>
    <row r="85" spans="1:3" x14ac:dyDescent="0.2">
      <c r="A85" s="16">
        <f>$B$5+(74)*$B$7</f>
        <v>470000</v>
      </c>
      <c r="B85" s="16">
        <f>IF(A85&gt;$B$6,"",(Inputs!B6)-((A85)+(IF(Inputs!D13&lt;&gt;"",Inputs!D13,IF(Inputs!B7="England &amp; N. Ireland",(IF(Inputs!B8="First-time buyer",(IF(A85&lt;=500000,MAX(0,A85-300000)*0.05,(MAX(0,MIN(A85,250000)-125000)*0.02+MAX(0,MIN(A85,925000)-250000)*0.05+MAX(0,MIN(A85,1500000)-925000)*0.1+MAX(0,A85-1500000)*0.12))),(MAX(0,MIN(A85,250000)-125000)*0.02+MAX(0,MIN(A85,925000)-250000)*0.05+MAX(0,MIN(A85,1500000)-925000)*0.1+MAX(0,A85-1500000)*0.12)+IF(Inputs!B8="Additional / Investor",0.05*A85,0)+IF(Inputs!B9="Yes",0.02*A85,0))),IF(Inputs!B7="Scotland",((MAX(0,MIN(A85,250000)-145000)*0.02+MAX(0,MIN(A85,325000)-250000)*0.05+MAX(0,MIN(A85,750000)-325000)*0.1+MAX(0,A85-750000)*0.12)-IF(Inputs!B8="First-time buyer",(IF(A85&gt;145000,MIN(600,0.02*(MIN(A85,175000)-145000)),0)),0)+IF(Inputs!B8="Additional / Investor",0.08*A85,0)),IF(Inputs!B7="Wales",(IF(Inputs!B8="Additional / Investor",(MIN(A85,180000)*0.05+MAX(0,MIN(A85,250000)-180000)*0.085+MAX(0,MIN(A85,400000)-250000)*0.1+MAX(0,MIN(A85,750000)-400000)*0.125+MAX(0,MIN(A85,1500000)-750000)*0.15+MAX(0,A85-1500000)*0.17),(MAX(0,MIN(A85,400000)-225000)*0.06+MAX(0,MIN(A85,750000)-400000)*0.075+MAX(0,MIN(A85,1500000)-750000)*0.1+MAX(0,A85-1500000)*0.12))),0)))))+(Inputs!B14+Inputs!B15+Inputs!B16+Inputs!B17)+(Summary!B14)+(Summary!B15)+(((((A85)*Inputs!B20)+(IF(Inputs!B24="Yes",(Summary!B14)*Inputs!B25,0))*Inputs!B26)*Inputs!B21*Inputs!B10/12)+((((A85)*Inputs!B20)+(IF(Inputs!B24="Yes",(Summary!B14)*Inputs!B25,0)))*Inputs!B22)+((((A85)*Inputs!B20)+(IF(Inputs!B24="Yes",(Summary!B14)*Inputs!B25,0)))*Inputs!B23))+(Summary!B17)))</f>
        <v>-256325</v>
      </c>
      <c r="C85" t="str">
        <f t="shared" si="2"/>
        <v/>
      </c>
    </row>
    <row r="86" spans="1:3" x14ac:dyDescent="0.2">
      <c r="A86" s="16">
        <f>$B$5+(75)*$B$7</f>
        <v>475000</v>
      </c>
      <c r="B86" s="16">
        <f>IF(A86&gt;$B$6,"",(Inputs!B6)-((A86)+(IF(Inputs!D13&lt;&gt;"",Inputs!D13,IF(Inputs!B7="England &amp; N. Ireland",(IF(Inputs!B8="First-time buyer",(IF(A86&lt;=500000,MAX(0,A86-300000)*0.05,(MAX(0,MIN(A86,250000)-125000)*0.02+MAX(0,MIN(A86,925000)-250000)*0.05+MAX(0,MIN(A86,1500000)-925000)*0.1+MAX(0,A86-1500000)*0.12))),(MAX(0,MIN(A86,250000)-125000)*0.02+MAX(0,MIN(A86,925000)-250000)*0.05+MAX(0,MIN(A86,1500000)-925000)*0.1+MAX(0,A86-1500000)*0.12)+IF(Inputs!B8="Additional / Investor",0.05*A86,0)+IF(Inputs!B9="Yes",0.02*A86,0))),IF(Inputs!B7="Scotland",((MAX(0,MIN(A86,250000)-145000)*0.02+MAX(0,MIN(A86,325000)-250000)*0.05+MAX(0,MIN(A86,750000)-325000)*0.1+MAX(0,A86-750000)*0.12)-IF(Inputs!B8="First-time buyer",(IF(A86&gt;145000,MIN(600,0.02*(MIN(A86,175000)-145000)),0)),0)+IF(Inputs!B8="Additional / Investor",0.08*A86,0)),IF(Inputs!B7="Wales",(IF(Inputs!B8="Additional / Investor",(MIN(A86,180000)*0.05+MAX(0,MIN(A86,250000)-180000)*0.085+MAX(0,MIN(A86,400000)-250000)*0.1+MAX(0,MIN(A86,750000)-400000)*0.125+MAX(0,MIN(A86,1500000)-750000)*0.15+MAX(0,A86-1500000)*0.17),(MAX(0,MIN(A86,400000)-225000)*0.06+MAX(0,MIN(A86,750000)-400000)*0.075+MAX(0,MIN(A86,1500000)-750000)*0.1+MAX(0,A86-1500000)*0.12))),0)))))+(Inputs!B14+Inputs!B15+Inputs!B16+Inputs!B17)+(Summary!B14)+(Summary!B15)+(((((A86)*Inputs!B20)+(IF(Inputs!B24="Yes",(Summary!B14)*Inputs!B25,0))*Inputs!B26)*Inputs!B21*Inputs!B10/12)+((((A86)*Inputs!B20)+(IF(Inputs!B24="Yes",(Summary!B14)*Inputs!B25,0)))*Inputs!B22)+((((A86)*Inputs!B20)+(IF(Inputs!B24="Yes",(Summary!B14)*Inputs!B25,0)))*Inputs!B23))+(Summary!B17)))</f>
        <v>-262162.5</v>
      </c>
      <c r="C86" t="str">
        <f t="shared" si="2"/>
        <v/>
      </c>
    </row>
    <row r="87" spans="1:3" x14ac:dyDescent="0.2">
      <c r="A87" s="16">
        <f>$B$5+(76)*$B$7</f>
        <v>480000</v>
      </c>
      <c r="B87" s="16">
        <f>IF(A87&gt;$B$6,"",(Inputs!B6)-((A87)+(IF(Inputs!D13&lt;&gt;"",Inputs!D13,IF(Inputs!B7="England &amp; N. Ireland",(IF(Inputs!B8="First-time buyer",(IF(A87&lt;=500000,MAX(0,A87-300000)*0.05,(MAX(0,MIN(A87,250000)-125000)*0.02+MAX(0,MIN(A87,925000)-250000)*0.05+MAX(0,MIN(A87,1500000)-925000)*0.1+MAX(0,A87-1500000)*0.12))),(MAX(0,MIN(A87,250000)-125000)*0.02+MAX(0,MIN(A87,925000)-250000)*0.05+MAX(0,MIN(A87,1500000)-925000)*0.1+MAX(0,A87-1500000)*0.12)+IF(Inputs!B8="Additional / Investor",0.05*A87,0)+IF(Inputs!B9="Yes",0.02*A87,0))),IF(Inputs!B7="Scotland",((MAX(0,MIN(A87,250000)-145000)*0.02+MAX(0,MIN(A87,325000)-250000)*0.05+MAX(0,MIN(A87,750000)-325000)*0.1+MAX(0,A87-750000)*0.12)-IF(Inputs!B8="First-time buyer",(IF(A87&gt;145000,MIN(600,0.02*(MIN(A87,175000)-145000)),0)),0)+IF(Inputs!B8="Additional / Investor",0.08*A87,0)),IF(Inputs!B7="Wales",(IF(Inputs!B8="Additional / Investor",(MIN(A87,180000)*0.05+MAX(0,MIN(A87,250000)-180000)*0.085+MAX(0,MIN(A87,400000)-250000)*0.1+MAX(0,MIN(A87,750000)-400000)*0.125+MAX(0,MIN(A87,1500000)-750000)*0.15+MAX(0,A87-1500000)*0.17),(MAX(0,MIN(A87,400000)-225000)*0.06+MAX(0,MIN(A87,750000)-400000)*0.075+MAX(0,MIN(A87,1500000)-750000)*0.1+MAX(0,A87-1500000)*0.12))),0)))))+(Inputs!B14+Inputs!B15+Inputs!B16+Inputs!B17)+(Summary!B14)+(Summary!B15)+(((((A87)*Inputs!B20)+(IF(Inputs!B24="Yes",(Summary!B14)*Inputs!B25,0))*Inputs!B26)*Inputs!B21*Inputs!B10/12)+((((A87)*Inputs!B20)+(IF(Inputs!B24="Yes",(Summary!B14)*Inputs!B25,0)))*Inputs!B22)+((((A87)*Inputs!B20)+(IF(Inputs!B24="Yes",(Summary!B14)*Inputs!B25,0)))*Inputs!B23))+(Summary!B17)))</f>
        <v>-268000</v>
      </c>
      <c r="C87" t="str">
        <f t="shared" si="2"/>
        <v/>
      </c>
    </row>
    <row r="88" spans="1:3" x14ac:dyDescent="0.2">
      <c r="A88" s="16">
        <f>$B$5+(77)*$B$7</f>
        <v>485000</v>
      </c>
      <c r="B88" s="16">
        <f>IF(A88&gt;$B$6,"",(Inputs!B6)-((A88)+(IF(Inputs!D13&lt;&gt;"",Inputs!D13,IF(Inputs!B7="England &amp; N. Ireland",(IF(Inputs!B8="First-time buyer",(IF(A88&lt;=500000,MAX(0,A88-300000)*0.05,(MAX(0,MIN(A88,250000)-125000)*0.02+MAX(0,MIN(A88,925000)-250000)*0.05+MAX(0,MIN(A88,1500000)-925000)*0.1+MAX(0,A88-1500000)*0.12))),(MAX(0,MIN(A88,250000)-125000)*0.02+MAX(0,MIN(A88,925000)-250000)*0.05+MAX(0,MIN(A88,1500000)-925000)*0.1+MAX(0,A88-1500000)*0.12)+IF(Inputs!B8="Additional / Investor",0.05*A88,0)+IF(Inputs!B9="Yes",0.02*A88,0))),IF(Inputs!B7="Scotland",((MAX(0,MIN(A88,250000)-145000)*0.02+MAX(0,MIN(A88,325000)-250000)*0.05+MAX(0,MIN(A88,750000)-325000)*0.1+MAX(0,A88-750000)*0.12)-IF(Inputs!B8="First-time buyer",(IF(A88&gt;145000,MIN(600,0.02*(MIN(A88,175000)-145000)),0)),0)+IF(Inputs!B8="Additional / Investor",0.08*A88,0)),IF(Inputs!B7="Wales",(IF(Inputs!B8="Additional / Investor",(MIN(A88,180000)*0.05+MAX(0,MIN(A88,250000)-180000)*0.085+MAX(0,MIN(A88,400000)-250000)*0.1+MAX(0,MIN(A88,750000)-400000)*0.125+MAX(0,MIN(A88,1500000)-750000)*0.15+MAX(0,A88-1500000)*0.17),(MAX(0,MIN(A88,400000)-225000)*0.06+MAX(0,MIN(A88,750000)-400000)*0.075+MAX(0,MIN(A88,1500000)-750000)*0.1+MAX(0,A88-1500000)*0.12))),0)))))+(Inputs!B14+Inputs!B15+Inputs!B16+Inputs!B17)+(Summary!B14)+(Summary!B15)+(((((A88)*Inputs!B20)+(IF(Inputs!B24="Yes",(Summary!B14)*Inputs!B25,0))*Inputs!B26)*Inputs!B21*Inputs!B10/12)+((((A88)*Inputs!B20)+(IF(Inputs!B24="Yes",(Summary!B14)*Inputs!B25,0)))*Inputs!B22)+((((A88)*Inputs!B20)+(IF(Inputs!B24="Yes",(Summary!B14)*Inputs!B25,0)))*Inputs!B23))+(Summary!B17)))</f>
        <v>-273837.5</v>
      </c>
      <c r="C88" t="str">
        <f t="shared" si="2"/>
        <v/>
      </c>
    </row>
    <row r="89" spans="1:3" x14ac:dyDescent="0.2">
      <c r="A89" s="16">
        <f>$B$5+(78)*$B$7</f>
        <v>490000</v>
      </c>
      <c r="B89" s="16">
        <f>IF(A89&gt;$B$6,"",(Inputs!B6)-((A89)+(IF(Inputs!D13&lt;&gt;"",Inputs!D13,IF(Inputs!B7="England &amp; N. Ireland",(IF(Inputs!B8="First-time buyer",(IF(A89&lt;=500000,MAX(0,A89-300000)*0.05,(MAX(0,MIN(A89,250000)-125000)*0.02+MAX(0,MIN(A89,925000)-250000)*0.05+MAX(0,MIN(A89,1500000)-925000)*0.1+MAX(0,A89-1500000)*0.12))),(MAX(0,MIN(A89,250000)-125000)*0.02+MAX(0,MIN(A89,925000)-250000)*0.05+MAX(0,MIN(A89,1500000)-925000)*0.1+MAX(0,A89-1500000)*0.12)+IF(Inputs!B8="Additional / Investor",0.05*A89,0)+IF(Inputs!B9="Yes",0.02*A89,0))),IF(Inputs!B7="Scotland",((MAX(0,MIN(A89,250000)-145000)*0.02+MAX(0,MIN(A89,325000)-250000)*0.05+MAX(0,MIN(A89,750000)-325000)*0.1+MAX(0,A89-750000)*0.12)-IF(Inputs!B8="First-time buyer",(IF(A89&gt;145000,MIN(600,0.02*(MIN(A89,175000)-145000)),0)),0)+IF(Inputs!B8="Additional / Investor",0.08*A89,0)),IF(Inputs!B7="Wales",(IF(Inputs!B8="Additional / Investor",(MIN(A89,180000)*0.05+MAX(0,MIN(A89,250000)-180000)*0.085+MAX(0,MIN(A89,400000)-250000)*0.1+MAX(0,MIN(A89,750000)-400000)*0.125+MAX(0,MIN(A89,1500000)-750000)*0.15+MAX(0,A89-1500000)*0.17),(MAX(0,MIN(A89,400000)-225000)*0.06+MAX(0,MIN(A89,750000)-400000)*0.075+MAX(0,MIN(A89,1500000)-750000)*0.1+MAX(0,A89-1500000)*0.12))),0)))))+(Inputs!B14+Inputs!B15+Inputs!B16+Inputs!B17)+(Summary!B14)+(Summary!B15)+(((((A89)*Inputs!B20)+(IF(Inputs!B24="Yes",(Summary!B14)*Inputs!B25,0))*Inputs!B26)*Inputs!B21*Inputs!B10/12)+((((A89)*Inputs!B20)+(IF(Inputs!B24="Yes",(Summary!B14)*Inputs!B25,0)))*Inputs!B22)+((((A89)*Inputs!B20)+(IF(Inputs!B24="Yes",(Summary!B14)*Inputs!B25,0)))*Inputs!B23))+(Summary!B17)))</f>
        <v>-279675</v>
      </c>
      <c r="C89" t="str">
        <f t="shared" si="2"/>
        <v/>
      </c>
    </row>
    <row r="90" spans="1:3" x14ac:dyDescent="0.2">
      <c r="A90" s="16">
        <f>$B$5+(79)*$B$7</f>
        <v>495000</v>
      </c>
      <c r="B90" s="16">
        <f>IF(A90&gt;$B$6,"",(Inputs!B6)-((A90)+(IF(Inputs!D13&lt;&gt;"",Inputs!D13,IF(Inputs!B7="England &amp; N. Ireland",(IF(Inputs!B8="First-time buyer",(IF(A90&lt;=500000,MAX(0,A90-300000)*0.05,(MAX(0,MIN(A90,250000)-125000)*0.02+MAX(0,MIN(A90,925000)-250000)*0.05+MAX(0,MIN(A90,1500000)-925000)*0.1+MAX(0,A90-1500000)*0.12))),(MAX(0,MIN(A90,250000)-125000)*0.02+MAX(0,MIN(A90,925000)-250000)*0.05+MAX(0,MIN(A90,1500000)-925000)*0.1+MAX(0,A90-1500000)*0.12)+IF(Inputs!B8="Additional / Investor",0.05*A90,0)+IF(Inputs!B9="Yes",0.02*A90,0))),IF(Inputs!B7="Scotland",((MAX(0,MIN(A90,250000)-145000)*0.02+MAX(0,MIN(A90,325000)-250000)*0.05+MAX(0,MIN(A90,750000)-325000)*0.1+MAX(0,A90-750000)*0.12)-IF(Inputs!B8="First-time buyer",(IF(A90&gt;145000,MIN(600,0.02*(MIN(A90,175000)-145000)),0)),0)+IF(Inputs!B8="Additional / Investor",0.08*A90,0)),IF(Inputs!B7="Wales",(IF(Inputs!B8="Additional / Investor",(MIN(A90,180000)*0.05+MAX(0,MIN(A90,250000)-180000)*0.085+MAX(0,MIN(A90,400000)-250000)*0.1+MAX(0,MIN(A90,750000)-400000)*0.125+MAX(0,MIN(A90,1500000)-750000)*0.15+MAX(0,A90-1500000)*0.17),(MAX(0,MIN(A90,400000)-225000)*0.06+MAX(0,MIN(A90,750000)-400000)*0.075+MAX(0,MIN(A90,1500000)-750000)*0.1+MAX(0,A90-1500000)*0.12))),0)))))+(Inputs!B14+Inputs!B15+Inputs!B16+Inputs!B17)+(Summary!B14)+(Summary!B15)+(((((A90)*Inputs!B20)+(IF(Inputs!B24="Yes",(Summary!B14)*Inputs!B25,0))*Inputs!B26)*Inputs!B21*Inputs!B10/12)+((((A90)*Inputs!B20)+(IF(Inputs!B24="Yes",(Summary!B14)*Inputs!B25,0)))*Inputs!B22)+((((A90)*Inputs!B20)+(IF(Inputs!B24="Yes",(Summary!B14)*Inputs!B25,0)))*Inputs!B23))+(Summary!B17)))</f>
        <v>-285512.5</v>
      </c>
      <c r="C90" t="str">
        <f t="shared" si="2"/>
        <v/>
      </c>
    </row>
    <row r="91" spans="1:3" x14ac:dyDescent="0.2">
      <c r="A91" s="16">
        <f>$B$5+(80)*$B$7</f>
        <v>500000</v>
      </c>
      <c r="B91" s="16">
        <f>IF(A91&gt;$B$6,"",(Inputs!B6)-((A91)+(IF(Inputs!D13&lt;&gt;"",Inputs!D13,IF(Inputs!B7="England &amp; N. Ireland",(IF(Inputs!B8="First-time buyer",(IF(A91&lt;=500000,MAX(0,A91-300000)*0.05,(MAX(0,MIN(A91,250000)-125000)*0.02+MAX(0,MIN(A91,925000)-250000)*0.05+MAX(0,MIN(A91,1500000)-925000)*0.1+MAX(0,A91-1500000)*0.12))),(MAX(0,MIN(A91,250000)-125000)*0.02+MAX(0,MIN(A91,925000)-250000)*0.05+MAX(0,MIN(A91,1500000)-925000)*0.1+MAX(0,A91-1500000)*0.12)+IF(Inputs!B8="Additional / Investor",0.05*A91,0)+IF(Inputs!B9="Yes",0.02*A91,0))),IF(Inputs!B7="Scotland",((MAX(0,MIN(A91,250000)-145000)*0.02+MAX(0,MIN(A91,325000)-250000)*0.05+MAX(0,MIN(A91,750000)-325000)*0.1+MAX(0,A91-750000)*0.12)-IF(Inputs!B8="First-time buyer",(IF(A91&gt;145000,MIN(600,0.02*(MIN(A91,175000)-145000)),0)),0)+IF(Inputs!B8="Additional / Investor",0.08*A91,0)),IF(Inputs!B7="Wales",(IF(Inputs!B8="Additional / Investor",(MIN(A91,180000)*0.05+MAX(0,MIN(A91,250000)-180000)*0.085+MAX(0,MIN(A91,400000)-250000)*0.1+MAX(0,MIN(A91,750000)-400000)*0.125+MAX(0,MIN(A91,1500000)-750000)*0.15+MAX(0,A91-1500000)*0.17),(MAX(0,MIN(A91,400000)-225000)*0.06+MAX(0,MIN(A91,750000)-400000)*0.075+MAX(0,MIN(A91,1500000)-750000)*0.1+MAX(0,A91-1500000)*0.12))),0)))))+(Inputs!B14+Inputs!B15+Inputs!B16+Inputs!B17)+(Summary!B14)+(Summary!B15)+(((((A91)*Inputs!B20)+(IF(Inputs!B24="Yes",(Summary!B14)*Inputs!B25,0))*Inputs!B26)*Inputs!B21*Inputs!B10/12)+((((A91)*Inputs!B20)+(IF(Inputs!B24="Yes",(Summary!B14)*Inputs!B25,0)))*Inputs!B22)+((((A91)*Inputs!B20)+(IF(Inputs!B24="Yes",(Summary!B14)*Inputs!B25,0)))*Inputs!B23))+(Summary!B17)))</f>
        <v>-291350</v>
      </c>
      <c r="C91" t="str">
        <f t="shared" si="2"/>
        <v/>
      </c>
    </row>
    <row r="92" spans="1:3" x14ac:dyDescent="0.2">
      <c r="A92" s="16">
        <f>$B$5+(81)*$B$7</f>
        <v>505000</v>
      </c>
      <c r="B92" s="16">
        <f>IF(A92&gt;$B$6,"",(Inputs!B6)-((A92)+(IF(Inputs!D13&lt;&gt;"",Inputs!D13,IF(Inputs!B7="England &amp; N. Ireland",(IF(Inputs!B8="First-time buyer",(IF(A92&lt;=500000,MAX(0,A92-300000)*0.05,(MAX(0,MIN(A92,250000)-125000)*0.02+MAX(0,MIN(A92,925000)-250000)*0.05+MAX(0,MIN(A92,1500000)-925000)*0.1+MAX(0,A92-1500000)*0.12))),(MAX(0,MIN(A92,250000)-125000)*0.02+MAX(0,MIN(A92,925000)-250000)*0.05+MAX(0,MIN(A92,1500000)-925000)*0.1+MAX(0,A92-1500000)*0.12)+IF(Inputs!B8="Additional / Investor",0.05*A92,0)+IF(Inputs!B9="Yes",0.02*A92,0))),IF(Inputs!B7="Scotland",((MAX(0,MIN(A92,250000)-145000)*0.02+MAX(0,MIN(A92,325000)-250000)*0.05+MAX(0,MIN(A92,750000)-325000)*0.1+MAX(0,A92-750000)*0.12)-IF(Inputs!B8="First-time buyer",(IF(A92&gt;145000,MIN(600,0.02*(MIN(A92,175000)-145000)),0)),0)+IF(Inputs!B8="Additional / Investor",0.08*A92,0)),IF(Inputs!B7="Wales",(IF(Inputs!B8="Additional / Investor",(MIN(A92,180000)*0.05+MAX(0,MIN(A92,250000)-180000)*0.085+MAX(0,MIN(A92,400000)-250000)*0.1+MAX(0,MIN(A92,750000)-400000)*0.125+MAX(0,MIN(A92,1500000)-750000)*0.15+MAX(0,A92-1500000)*0.17),(MAX(0,MIN(A92,400000)-225000)*0.06+MAX(0,MIN(A92,750000)-400000)*0.075+MAX(0,MIN(A92,1500000)-750000)*0.1+MAX(0,A92-1500000)*0.12))),0)))))+(Inputs!B14+Inputs!B15+Inputs!B16+Inputs!B17)+(Summary!B14)+(Summary!B15)+(((((A92)*Inputs!B20)+(IF(Inputs!B24="Yes",(Summary!B14)*Inputs!B25,0))*Inputs!B26)*Inputs!B21*Inputs!B10/12)+((((A92)*Inputs!B20)+(IF(Inputs!B24="Yes",(Summary!B14)*Inputs!B25,0)))*Inputs!B22)+((((A92)*Inputs!B20)+(IF(Inputs!B24="Yes",(Summary!B14)*Inputs!B25,0)))*Inputs!B23))+(Summary!B17)))</f>
        <v>-297187.5</v>
      </c>
      <c r="C92" t="str">
        <f t="shared" si="2"/>
        <v/>
      </c>
    </row>
    <row r="93" spans="1:3" x14ac:dyDescent="0.2">
      <c r="A93" s="16">
        <f>$B$5+(82)*$B$7</f>
        <v>510000</v>
      </c>
      <c r="B93" s="16">
        <f>IF(A93&gt;$B$6,"",(Inputs!B6)-((A93)+(IF(Inputs!D13&lt;&gt;"",Inputs!D13,IF(Inputs!B7="England &amp; N. Ireland",(IF(Inputs!B8="First-time buyer",(IF(A93&lt;=500000,MAX(0,A93-300000)*0.05,(MAX(0,MIN(A93,250000)-125000)*0.02+MAX(0,MIN(A93,925000)-250000)*0.05+MAX(0,MIN(A93,1500000)-925000)*0.1+MAX(0,A93-1500000)*0.12))),(MAX(0,MIN(A93,250000)-125000)*0.02+MAX(0,MIN(A93,925000)-250000)*0.05+MAX(0,MIN(A93,1500000)-925000)*0.1+MAX(0,A93-1500000)*0.12)+IF(Inputs!B8="Additional / Investor",0.05*A93,0)+IF(Inputs!B9="Yes",0.02*A93,0))),IF(Inputs!B7="Scotland",((MAX(0,MIN(A93,250000)-145000)*0.02+MAX(0,MIN(A93,325000)-250000)*0.05+MAX(0,MIN(A93,750000)-325000)*0.1+MAX(0,A93-750000)*0.12)-IF(Inputs!B8="First-time buyer",(IF(A93&gt;145000,MIN(600,0.02*(MIN(A93,175000)-145000)),0)),0)+IF(Inputs!B8="Additional / Investor",0.08*A93,0)),IF(Inputs!B7="Wales",(IF(Inputs!B8="Additional / Investor",(MIN(A93,180000)*0.05+MAX(0,MIN(A93,250000)-180000)*0.085+MAX(0,MIN(A93,400000)-250000)*0.1+MAX(0,MIN(A93,750000)-400000)*0.125+MAX(0,MIN(A93,1500000)-750000)*0.15+MAX(0,A93-1500000)*0.17),(MAX(0,MIN(A93,400000)-225000)*0.06+MAX(0,MIN(A93,750000)-400000)*0.075+MAX(0,MIN(A93,1500000)-750000)*0.1+MAX(0,A93-1500000)*0.12))),0)))))+(Inputs!B14+Inputs!B15+Inputs!B16+Inputs!B17)+(Summary!B14)+(Summary!B15)+(((((A93)*Inputs!B20)+(IF(Inputs!B24="Yes",(Summary!B14)*Inputs!B25,0))*Inputs!B26)*Inputs!B21*Inputs!B10/12)+((((A93)*Inputs!B20)+(IF(Inputs!B24="Yes",(Summary!B14)*Inputs!B25,0)))*Inputs!B22)+((((A93)*Inputs!B20)+(IF(Inputs!B24="Yes",(Summary!B14)*Inputs!B25,0)))*Inputs!B23))+(Summary!B17)))</f>
        <v>-303025</v>
      </c>
      <c r="C93" t="str">
        <f t="shared" si="2"/>
        <v/>
      </c>
    </row>
    <row r="94" spans="1:3" x14ac:dyDescent="0.2">
      <c r="A94" s="16">
        <f>$B$5+(83)*$B$7</f>
        <v>515000</v>
      </c>
      <c r="B94" s="16">
        <f>IF(A94&gt;$B$6,"",(Inputs!B6)-((A94)+(IF(Inputs!D13&lt;&gt;"",Inputs!D13,IF(Inputs!B7="England &amp; N. Ireland",(IF(Inputs!B8="First-time buyer",(IF(A94&lt;=500000,MAX(0,A94-300000)*0.05,(MAX(0,MIN(A94,250000)-125000)*0.02+MAX(0,MIN(A94,925000)-250000)*0.05+MAX(0,MIN(A94,1500000)-925000)*0.1+MAX(0,A94-1500000)*0.12))),(MAX(0,MIN(A94,250000)-125000)*0.02+MAX(0,MIN(A94,925000)-250000)*0.05+MAX(0,MIN(A94,1500000)-925000)*0.1+MAX(0,A94-1500000)*0.12)+IF(Inputs!B8="Additional / Investor",0.05*A94,0)+IF(Inputs!B9="Yes",0.02*A94,0))),IF(Inputs!B7="Scotland",((MAX(0,MIN(A94,250000)-145000)*0.02+MAX(0,MIN(A94,325000)-250000)*0.05+MAX(0,MIN(A94,750000)-325000)*0.1+MAX(0,A94-750000)*0.12)-IF(Inputs!B8="First-time buyer",(IF(A94&gt;145000,MIN(600,0.02*(MIN(A94,175000)-145000)),0)),0)+IF(Inputs!B8="Additional / Investor",0.08*A94,0)),IF(Inputs!B7="Wales",(IF(Inputs!B8="Additional / Investor",(MIN(A94,180000)*0.05+MAX(0,MIN(A94,250000)-180000)*0.085+MAX(0,MIN(A94,400000)-250000)*0.1+MAX(0,MIN(A94,750000)-400000)*0.125+MAX(0,MIN(A94,1500000)-750000)*0.15+MAX(0,A94-1500000)*0.17),(MAX(0,MIN(A94,400000)-225000)*0.06+MAX(0,MIN(A94,750000)-400000)*0.075+MAX(0,MIN(A94,1500000)-750000)*0.1+MAX(0,A94-1500000)*0.12))),0)))))+(Inputs!B14+Inputs!B15+Inputs!B16+Inputs!B17)+(Summary!B14)+(Summary!B15)+(((((A94)*Inputs!B20)+(IF(Inputs!B24="Yes",(Summary!B14)*Inputs!B25,0))*Inputs!B26)*Inputs!B21*Inputs!B10/12)+((((A94)*Inputs!B20)+(IF(Inputs!B24="Yes",(Summary!B14)*Inputs!B25,0)))*Inputs!B22)+((((A94)*Inputs!B20)+(IF(Inputs!B24="Yes",(Summary!B14)*Inputs!B25,0)))*Inputs!B23))+(Summary!B17)))</f>
        <v>-308862.5</v>
      </c>
      <c r="C94" t="str">
        <f t="shared" si="2"/>
        <v/>
      </c>
    </row>
    <row r="95" spans="1:3" x14ac:dyDescent="0.2">
      <c r="A95" s="16">
        <f>$B$5+(84)*$B$7</f>
        <v>520000</v>
      </c>
      <c r="B95" s="16">
        <f>IF(A95&gt;$B$6,"",(Inputs!B6)-((A95)+(IF(Inputs!D13&lt;&gt;"",Inputs!D13,IF(Inputs!B7="England &amp; N. Ireland",(IF(Inputs!B8="First-time buyer",(IF(A95&lt;=500000,MAX(0,A95-300000)*0.05,(MAX(0,MIN(A95,250000)-125000)*0.02+MAX(0,MIN(A95,925000)-250000)*0.05+MAX(0,MIN(A95,1500000)-925000)*0.1+MAX(0,A95-1500000)*0.12))),(MAX(0,MIN(A95,250000)-125000)*0.02+MAX(0,MIN(A95,925000)-250000)*0.05+MAX(0,MIN(A95,1500000)-925000)*0.1+MAX(0,A95-1500000)*0.12)+IF(Inputs!B8="Additional / Investor",0.05*A95,0)+IF(Inputs!B9="Yes",0.02*A95,0))),IF(Inputs!B7="Scotland",((MAX(0,MIN(A95,250000)-145000)*0.02+MAX(0,MIN(A95,325000)-250000)*0.05+MAX(0,MIN(A95,750000)-325000)*0.1+MAX(0,A95-750000)*0.12)-IF(Inputs!B8="First-time buyer",(IF(A95&gt;145000,MIN(600,0.02*(MIN(A95,175000)-145000)),0)),0)+IF(Inputs!B8="Additional / Investor",0.08*A95,0)),IF(Inputs!B7="Wales",(IF(Inputs!B8="Additional / Investor",(MIN(A95,180000)*0.05+MAX(0,MIN(A95,250000)-180000)*0.085+MAX(0,MIN(A95,400000)-250000)*0.1+MAX(0,MIN(A95,750000)-400000)*0.125+MAX(0,MIN(A95,1500000)-750000)*0.15+MAX(0,A95-1500000)*0.17),(MAX(0,MIN(A95,400000)-225000)*0.06+MAX(0,MIN(A95,750000)-400000)*0.075+MAX(0,MIN(A95,1500000)-750000)*0.1+MAX(0,A95-1500000)*0.12))),0)))))+(Inputs!B14+Inputs!B15+Inputs!B16+Inputs!B17)+(Summary!B14)+(Summary!B15)+(((((A95)*Inputs!B20)+(IF(Inputs!B24="Yes",(Summary!B14)*Inputs!B25,0))*Inputs!B26)*Inputs!B21*Inputs!B10/12)+((((A95)*Inputs!B20)+(IF(Inputs!B24="Yes",(Summary!B14)*Inputs!B25,0)))*Inputs!B22)+((((A95)*Inputs!B20)+(IF(Inputs!B24="Yes",(Summary!B14)*Inputs!B25,0)))*Inputs!B23))+(Summary!B17)))</f>
        <v>-314700</v>
      </c>
      <c r="C95" t="str">
        <f t="shared" si="2"/>
        <v/>
      </c>
    </row>
    <row r="96" spans="1:3" x14ac:dyDescent="0.2">
      <c r="A96" s="16">
        <f>$B$5+(85)*$B$7</f>
        <v>525000</v>
      </c>
      <c r="B96" s="16">
        <f>IF(A96&gt;$B$6,"",(Inputs!B6)-((A96)+(IF(Inputs!D13&lt;&gt;"",Inputs!D13,IF(Inputs!B7="England &amp; N. Ireland",(IF(Inputs!B8="First-time buyer",(IF(A96&lt;=500000,MAX(0,A96-300000)*0.05,(MAX(0,MIN(A96,250000)-125000)*0.02+MAX(0,MIN(A96,925000)-250000)*0.05+MAX(0,MIN(A96,1500000)-925000)*0.1+MAX(0,A96-1500000)*0.12))),(MAX(0,MIN(A96,250000)-125000)*0.02+MAX(0,MIN(A96,925000)-250000)*0.05+MAX(0,MIN(A96,1500000)-925000)*0.1+MAX(0,A96-1500000)*0.12)+IF(Inputs!B8="Additional / Investor",0.05*A96,0)+IF(Inputs!B9="Yes",0.02*A96,0))),IF(Inputs!B7="Scotland",((MAX(0,MIN(A96,250000)-145000)*0.02+MAX(0,MIN(A96,325000)-250000)*0.05+MAX(0,MIN(A96,750000)-325000)*0.1+MAX(0,A96-750000)*0.12)-IF(Inputs!B8="First-time buyer",(IF(A96&gt;145000,MIN(600,0.02*(MIN(A96,175000)-145000)),0)),0)+IF(Inputs!B8="Additional / Investor",0.08*A96,0)),IF(Inputs!B7="Wales",(IF(Inputs!B8="Additional / Investor",(MIN(A96,180000)*0.05+MAX(0,MIN(A96,250000)-180000)*0.085+MAX(0,MIN(A96,400000)-250000)*0.1+MAX(0,MIN(A96,750000)-400000)*0.125+MAX(0,MIN(A96,1500000)-750000)*0.15+MAX(0,A96-1500000)*0.17),(MAX(0,MIN(A96,400000)-225000)*0.06+MAX(0,MIN(A96,750000)-400000)*0.075+MAX(0,MIN(A96,1500000)-750000)*0.1+MAX(0,A96-1500000)*0.12))),0)))))+(Inputs!B14+Inputs!B15+Inputs!B16+Inputs!B17)+(Summary!B14)+(Summary!B15)+(((((A96)*Inputs!B20)+(IF(Inputs!B24="Yes",(Summary!B14)*Inputs!B25,0))*Inputs!B26)*Inputs!B21*Inputs!B10/12)+((((A96)*Inputs!B20)+(IF(Inputs!B24="Yes",(Summary!B14)*Inputs!B25,0)))*Inputs!B22)+((((A96)*Inputs!B20)+(IF(Inputs!B24="Yes",(Summary!B14)*Inputs!B25,0)))*Inputs!B23))+(Summary!B17)))</f>
        <v>-320537.5</v>
      </c>
      <c r="C96" t="str">
        <f t="shared" si="2"/>
        <v/>
      </c>
    </row>
    <row r="97" spans="1:3" x14ac:dyDescent="0.2">
      <c r="A97" s="16">
        <f>$B$5+(86)*$B$7</f>
        <v>530000</v>
      </c>
      <c r="B97" s="16">
        <f>IF(A97&gt;$B$6,"",(Inputs!B6)-((A97)+(IF(Inputs!D13&lt;&gt;"",Inputs!D13,IF(Inputs!B7="England &amp; N. Ireland",(IF(Inputs!B8="First-time buyer",(IF(A97&lt;=500000,MAX(0,A97-300000)*0.05,(MAX(0,MIN(A97,250000)-125000)*0.02+MAX(0,MIN(A97,925000)-250000)*0.05+MAX(0,MIN(A97,1500000)-925000)*0.1+MAX(0,A97-1500000)*0.12))),(MAX(0,MIN(A97,250000)-125000)*0.02+MAX(0,MIN(A97,925000)-250000)*0.05+MAX(0,MIN(A97,1500000)-925000)*0.1+MAX(0,A97-1500000)*0.12)+IF(Inputs!B8="Additional / Investor",0.05*A97,0)+IF(Inputs!B9="Yes",0.02*A97,0))),IF(Inputs!B7="Scotland",((MAX(0,MIN(A97,250000)-145000)*0.02+MAX(0,MIN(A97,325000)-250000)*0.05+MAX(0,MIN(A97,750000)-325000)*0.1+MAX(0,A97-750000)*0.12)-IF(Inputs!B8="First-time buyer",(IF(A97&gt;145000,MIN(600,0.02*(MIN(A97,175000)-145000)),0)),0)+IF(Inputs!B8="Additional / Investor",0.08*A97,0)),IF(Inputs!B7="Wales",(IF(Inputs!B8="Additional / Investor",(MIN(A97,180000)*0.05+MAX(0,MIN(A97,250000)-180000)*0.085+MAX(0,MIN(A97,400000)-250000)*0.1+MAX(0,MIN(A97,750000)-400000)*0.125+MAX(0,MIN(A97,1500000)-750000)*0.15+MAX(0,A97-1500000)*0.17),(MAX(0,MIN(A97,400000)-225000)*0.06+MAX(0,MIN(A97,750000)-400000)*0.075+MAX(0,MIN(A97,1500000)-750000)*0.1+MAX(0,A97-1500000)*0.12))),0)))))+(Inputs!B14+Inputs!B15+Inputs!B16+Inputs!B17)+(Summary!B14)+(Summary!B15)+(((((A97)*Inputs!B20)+(IF(Inputs!B24="Yes",(Summary!B14)*Inputs!B25,0))*Inputs!B26)*Inputs!B21*Inputs!B10/12)+((((A97)*Inputs!B20)+(IF(Inputs!B24="Yes",(Summary!B14)*Inputs!B25,0)))*Inputs!B22)+((((A97)*Inputs!B20)+(IF(Inputs!B24="Yes",(Summary!B14)*Inputs!B25,0)))*Inputs!B23))+(Summary!B17)))</f>
        <v>-326375</v>
      </c>
      <c r="C97" t="str">
        <f t="shared" si="2"/>
        <v/>
      </c>
    </row>
    <row r="98" spans="1:3" x14ac:dyDescent="0.2">
      <c r="A98" s="16">
        <f>$B$5+(87)*$B$7</f>
        <v>535000</v>
      </c>
      <c r="B98" s="16">
        <f>IF(A98&gt;$B$6,"",(Inputs!B6)-((A98)+(IF(Inputs!D13&lt;&gt;"",Inputs!D13,IF(Inputs!B7="England &amp; N. Ireland",(IF(Inputs!B8="First-time buyer",(IF(A98&lt;=500000,MAX(0,A98-300000)*0.05,(MAX(0,MIN(A98,250000)-125000)*0.02+MAX(0,MIN(A98,925000)-250000)*0.05+MAX(0,MIN(A98,1500000)-925000)*0.1+MAX(0,A98-1500000)*0.12))),(MAX(0,MIN(A98,250000)-125000)*0.02+MAX(0,MIN(A98,925000)-250000)*0.05+MAX(0,MIN(A98,1500000)-925000)*0.1+MAX(0,A98-1500000)*0.12)+IF(Inputs!B8="Additional / Investor",0.05*A98,0)+IF(Inputs!B9="Yes",0.02*A98,0))),IF(Inputs!B7="Scotland",((MAX(0,MIN(A98,250000)-145000)*0.02+MAX(0,MIN(A98,325000)-250000)*0.05+MAX(0,MIN(A98,750000)-325000)*0.1+MAX(0,A98-750000)*0.12)-IF(Inputs!B8="First-time buyer",(IF(A98&gt;145000,MIN(600,0.02*(MIN(A98,175000)-145000)),0)),0)+IF(Inputs!B8="Additional / Investor",0.08*A98,0)),IF(Inputs!B7="Wales",(IF(Inputs!B8="Additional / Investor",(MIN(A98,180000)*0.05+MAX(0,MIN(A98,250000)-180000)*0.085+MAX(0,MIN(A98,400000)-250000)*0.1+MAX(0,MIN(A98,750000)-400000)*0.125+MAX(0,MIN(A98,1500000)-750000)*0.15+MAX(0,A98-1500000)*0.17),(MAX(0,MIN(A98,400000)-225000)*0.06+MAX(0,MIN(A98,750000)-400000)*0.075+MAX(0,MIN(A98,1500000)-750000)*0.1+MAX(0,A98-1500000)*0.12))),0)))))+(Inputs!B14+Inputs!B15+Inputs!B16+Inputs!B17)+(Summary!B14)+(Summary!B15)+(((((A98)*Inputs!B20)+(IF(Inputs!B24="Yes",(Summary!B14)*Inputs!B25,0))*Inputs!B26)*Inputs!B21*Inputs!B10/12)+((((A98)*Inputs!B20)+(IF(Inputs!B24="Yes",(Summary!B14)*Inputs!B25,0)))*Inputs!B22)+((((A98)*Inputs!B20)+(IF(Inputs!B24="Yes",(Summary!B14)*Inputs!B25,0)))*Inputs!B23))+(Summary!B17)))</f>
        <v>-332212.5</v>
      </c>
      <c r="C98" t="str">
        <f t="shared" si="2"/>
        <v/>
      </c>
    </row>
    <row r="99" spans="1:3" x14ac:dyDescent="0.2">
      <c r="A99" s="16">
        <f>$B$5+(88)*$B$7</f>
        <v>540000</v>
      </c>
      <c r="B99" s="16">
        <f>IF(A99&gt;$B$6,"",(Inputs!B6)-((A99)+(IF(Inputs!D13&lt;&gt;"",Inputs!D13,IF(Inputs!B7="England &amp; N. Ireland",(IF(Inputs!B8="First-time buyer",(IF(A99&lt;=500000,MAX(0,A99-300000)*0.05,(MAX(0,MIN(A99,250000)-125000)*0.02+MAX(0,MIN(A99,925000)-250000)*0.05+MAX(0,MIN(A99,1500000)-925000)*0.1+MAX(0,A99-1500000)*0.12))),(MAX(0,MIN(A99,250000)-125000)*0.02+MAX(0,MIN(A99,925000)-250000)*0.05+MAX(0,MIN(A99,1500000)-925000)*0.1+MAX(0,A99-1500000)*0.12)+IF(Inputs!B8="Additional / Investor",0.05*A99,0)+IF(Inputs!B9="Yes",0.02*A99,0))),IF(Inputs!B7="Scotland",((MAX(0,MIN(A99,250000)-145000)*0.02+MAX(0,MIN(A99,325000)-250000)*0.05+MAX(0,MIN(A99,750000)-325000)*0.1+MAX(0,A99-750000)*0.12)-IF(Inputs!B8="First-time buyer",(IF(A99&gt;145000,MIN(600,0.02*(MIN(A99,175000)-145000)),0)),0)+IF(Inputs!B8="Additional / Investor",0.08*A99,0)),IF(Inputs!B7="Wales",(IF(Inputs!B8="Additional / Investor",(MIN(A99,180000)*0.05+MAX(0,MIN(A99,250000)-180000)*0.085+MAX(0,MIN(A99,400000)-250000)*0.1+MAX(0,MIN(A99,750000)-400000)*0.125+MAX(0,MIN(A99,1500000)-750000)*0.15+MAX(0,A99-1500000)*0.17),(MAX(0,MIN(A99,400000)-225000)*0.06+MAX(0,MIN(A99,750000)-400000)*0.075+MAX(0,MIN(A99,1500000)-750000)*0.1+MAX(0,A99-1500000)*0.12))),0)))))+(Inputs!B14+Inputs!B15+Inputs!B16+Inputs!B17)+(Summary!B14)+(Summary!B15)+(((((A99)*Inputs!B20)+(IF(Inputs!B24="Yes",(Summary!B14)*Inputs!B25,0))*Inputs!B26)*Inputs!B21*Inputs!B10/12)+((((A99)*Inputs!B20)+(IF(Inputs!B24="Yes",(Summary!B14)*Inputs!B25,0)))*Inputs!B22)+((((A99)*Inputs!B20)+(IF(Inputs!B24="Yes",(Summary!B14)*Inputs!B25,0)))*Inputs!B23))+(Summary!B17)))</f>
        <v>-338050</v>
      </c>
      <c r="C99" t="str">
        <f t="shared" si="2"/>
        <v/>
      </c>
    </row>
    <row r="100" spans="1:3" x14ac:dyDescent="0.2">
      <c r="A100" s="16">
        <f>$B$5+(89)*$B$7</f>
        <v>545000</v>
      </c>
      <c r="B100" s="16">
        <f>IF(A100&gt;$B$6,"",(Inputs!B6)-((A100)+(IF(Inputs!D13&lt;&gt;"",Inputs!D13,IF(Inputs!B7="England &amp; N. Ireland",(IF(Inputs!B8="First-time buyer",(IF(A100&lt;=500000,MAX(0,A100-300000)*0.05,(MAX(0,MIN(A100,250000)-125000)*0.02+MAX(0,MIN(A100,925000)-250000)*0.05+MAX(0,MIN(A100,1500000)-925000)*0.1+MAX(0,A100-1500000)*0.12))),(MAX(0,MIN(A100,250000)-125000)*0.02+MAX(0,MIN(A100,925000)-250000)*0.05+MAX(0,MIN(A100,1500000)-925000)*0.1+MAX(0,A100-1500000)*0.12)+IF(Inputs!B8="Additional / Investor",0.05*A100,0)+IF(Inputs!B9="Yes",0.02*A100,0))),IF(Inputs!B7="Scotland",((MAX(0,MIN(A100,250000)-145000)*0.02+MAX(0,MIN(A100,325000)-250000)*0.05+MAX(0,MIN(A100,750000)-325000)*0.1+MAX(0,A100-750000)*0.12)-IF(Inputs!B8="First-time buyer",(IF(A100&gt;145000,MIN(600,0.02*(MIN(A100,175000)-145000)),0)),0)+IF(Inputs!B8="Additional / Investor",0.08*A100,0)),IF(Inputs!B7="Wales",(IF(Inputs!B8="Additional / Investor",(MIN(A100,180000)*0.05+MAX(0,MIN(A100,250000)-180000)*0.085+MAX(0,MIN(A100,400000)-250000)*0.1+MAX(0,MIN(A100,750000)-400000)*0.125+MAX(0,MIN(A100,1500000)-750000)*0.15+MAX(0,A100-1500000)*0.17),(MAX(0,MIN(A100,400000)-225000)*0.06+MAX(0,MIN(A100,750000)-400000)*0.075+MAX(0,MIN(A100,1500000)-750000)*0.1+MAX(0,A100-1500000)*0.12))),0)))))+(Inputs!B14+Inputs!B15+Inputs!B16+Inputs!B17)+(Summary!B14)+(Summary!B15)+(((((A100)*Inputs!B20)+(IF(Inputs!B24="Yes",(Summary!B14)*Inputs!B25,0))*Inputs!B26)*Inputs!B21*Inputs!B10/12)+((((A100)*Inputs!B20)+(IF(Inputs!B24="Yes",(Summary!B14)*Inputs!B25,0)))*Inputs!B22)+((((A100)*Inputs!B20)+(IF(Inputs!B24="Yes",(Summary!B14)*Inputs!B25,0)))*Inputs!B23))+(Summary!B17)))</f>
        <v>-343887.5</v>
      </c>
      <c r="C100" t="str">
        <f t="shared" si="2"/>
        <v/>
      </c>
    </row>
    <row r="101" spans="1:3" x14ac:dyDescent="0.2">
      <c r="A101" s="16">
        <f>$B$5+(90)*$B$7</f>
        <v>550000</v>
      </c>
      <c r="B101" s="16">
        <f>IF(A101&gt;$B$6,"",(Inputs!B6)-((A101)+(IF(Inputs!D13&lt;&gt;"",Inputs!D13,IF(Inputs!B7="England &amp; N. Ireland",(IF(Inputs!B8="First-time buyer",(IF(A101&lt;=500000,MAX(0,A101-300000)*0.05,(MAX(0,MIN(A101,250000)-125000)*0.02+MAX(0,MIN(A101,925000)-250000)*0.05+MAX(0,MIN(A101,1500000)-925000)*0.1+MAX(0,A101-1500000)*0.12))),(MAX(0,MIN(A101,250000)-125000)*0.02+MAX(0,MIN(A101,925000)-250000)*0.05+MAX(0,MIN(A101,1500000)-925000)*0.1+MAX(0,A101-1500000)*0.12)+IF(Inputs!B8="Additional / Investor",0.05*A101,0)+IF(Inputs!B9="Yes",0.02*A101,0))),IF(Inputs!B7="Scotland",((MAX(0,MIN(A101,250000)-145000)*0.02+MAX(0,MIN(A101,325000)-250000)*0.05+MAX(0,MIN(A101,750000)-325000)*0.1+MAX(0,A101-750000)*0.12)-IF(Inputs!B8="First-time buyer",(IF(A101&gt;145000,MIN(600,0.02*(MIN(A101,175000)-145000)),0)),0)+IF(Inputs!B8="Additional / Investor",0.08*A101,0)),IF(Inputs!B7="Wales",(IF(Inputs!B8="Additional / Investor",(MIN(A101,180000)*0.05+MAX(0,MIN(A101,250000)-180000)*0.085+MAX(0,MIN(A101,400000)-250000)*0.1+MAX(0,MIN(A101,750000)-400000)*0.125+MAX(0,MIN(A101,1500000)-750000)*0.15+MAX(0,A101-1500000)*0.17),(MAX(0,MIN(A101,400000)-225000)*0.06+MAX(0,MIN(A101,750000)-400000)*0.075+MAX(0,MIN(A101,1500000)-750000)*0.1+MAX(0,A101-1500000)*0.12))),0)))))+(Inputs!B14+Inputs!B15+Inputs!B16+Inputs!B17)+(Summary!B14)+(Summary!B15)+(((((A101)*Inputs!B20)+(IF(Inputs!B24="Yes",(Summary!B14)*Inputs!B25,0))*Inputs!B26)*Inputs!B21*Inputs!B10/12)+((((A101)*Inputs!B20)+(IF(Inputs!B24="Yes",(Summary!B14)*Inputs!B25,0)))*Inputs!B22)+((((A101)*Inputs!B20)+(IF(Inputs!B24="Yes",(Summary!B14)*Inputs!B25,0)))*Inputs!B23))+(Summary!B17)))</f>
        <v>-349725</v>
      </c>
      <c r="C101" t="str">
        <f t="shared" si="2"/>
        <v/>
      </c>
    </row>
    <row r="102" spans="1:3" x14ac:dyDescent="0.2">
      <c r="A102" s="16">
        <f>$B$5+(91)*$B$7</f>
        <v>555000</v>
      </c>
      <c r="B102" s="16">
        <f>IF(A102&gt;$B$6,"",(Inputs!B6)-((A102)+(IF(Inputs!D13&lt;&gt;"",Inputs!D13,IF(Inputs!B7="England &amp; N. Ireland",(IF(Inputs!B8="First-time buyer",(IF(A102&lt;=500000,MAX(0,A102-300000)*0.05,(MAX(0,MIN(A102,250000)-125000)*0.02+MAX(0,MIN(A102,925000)-250000)*0.05+MAX(0,MIN(A102,1500000)-925000)*0.1+MAX(0,A102-1500000)*0.12))),(MAX(0,MIN(A102,250000)-125000)*0.02+MAX(0,MIN(A102,925000)-250000)*0.05+MAX(0,MIN(A102,1500000)-925000)*0.1+MAX(0,A102-1500000)*0.12)+IF(Inputs!B8="Additional / Investor",0.05*A102,0)+IF(Inputs!B9="Yes",0.02*A102,0))),IF(Inputs!B7="Scotland",((MAX(0,MIN(A102,250000)-145000)*0.02+MAX(0,MIN(A102,325000)-250000)*0.05+MAX(0,MIN(A102,750000)-325000)*0.1+MAX(0,A102-750000)*0.12)-IF(Inputs!B8="First-time buyer",(IF(A102&gt;145000,MIN(600,0.02*(MIN(A102,175000)-145000)),0)),0)+IF(Inputs!B8="Additional / Investor",0.08*A102,0)),IF(Inputs!B7="Wales",(IF(Inputs!B8="Additional / Investor",(MIN(A102,180000)*0.05+MAX(0,MIN(A102,250000)-180000)*0.085+MAX(0,MIN(A102,400000)-250000)*0.1+MAX(0,MIN(A102,750000)-400000)*0.125+MAX(0,MIN(A102,1500000)-750000)*0.15+MAX(0,A102-1500000)*0.17),(MAX(0,MIN(A102,400000)-225000)*0.06+MAX(0,MIN(A102,750000)-400000)*0.075+MAX(0,MIN(A102,1500000)-750000)*0.1+MAX(0,A102-1500000)*0.12))),0)))))+(Inputs!B14+Inputs!B15+Inputs!B16+Inputs!B17)+(Summary!B14)+(Summary!B15)+(((((A102)*Inputs!B20)+(IF(Inputs!B24="Yes",(Summary!B14)*Inputs!B25,0))*Inputs!B26)*Inputs!B21*Inputs!B10/12)+((((A102)*Inputs!B20)+(IF(Inputs!B24="Yes",(Summary!B14)*Inputs!B25,0)))*Inputs!B22)+((((A102)*Inputs!B20)+(IF(Inputs!B24="Yes",(Summary!B14)*Inputs!B25,0)))*Inputs!B23))+(Summary!B17)))</f>
        <v>-355562.5</v>
      </c>
      <c r="C102" t="str">
        <f t="shared" si="2"/>
        <v/>
      </c>
    </row>
    <row r="103" spans="1:3" x14ac:dyDescent="0.2">
      <c r="A103" s="16">
        <f>$B$5+(92)*$B$7</f>
        <v>560000</v>
      </c>
      <c r="B103" s="16">
        <f>IF(A103&gt;$B$6,"",(Inputs!B6)-((A103)+(IF(Inputs!D13&lt;&gt;"",Inputs!D13,IF(Inputs!B7="England &amp; N. Ireland",(IF(Inputs!B8="First-time buyer",(IF(A103&lt;=500000,MAX(0,A103-300000)*0.05,(MAX(0,MIN(A103,250000)-125000)*0.02+MAX(0,MIN(A103,925000)-250000)*0.05+MAX(0,MIN(A103,1500000)-925000)*0.1+MAX(0,A103-1500000)*0.12))),(MAX(0,MIN(A103,250000)-125000)*0.02+MAX(0,MIN(A103,925000)-250000)*0.05+MAX(0,MIN(A103,1500000)-925000)*0.1+MAX(0,A103-1500000)*0.12)+IF(Inputs!B8="Additional / Investor",0.05*A103,0)+IF(Inputs!B9="Yes",0.02*A103,0))),IF(Inputs!B7="Scotland",((MAX(0,MIN(A103,250000)-145000)*0.02+MAX(0,MIN(A103,325000)-250000)*0.05+MAX(0,MIN(A103,750000)-325000)*0.1+MAX(0,A103-750000)*0.12)-IF(Inputs!B8="First-time buyer",(IF(A103&gt;145000,MIN(600,0.02*(MIN(A103,175000)-145000)),0)),0)+IF(Inputs!B8="Additional / Investor",0.08*A103,0)),IF(Inputs!B7="Wales",(IF(Inputs!B8="Additional / Investor",(MIN(A103,180000)*0.05+MAX(0,MIN(A103,250000)-180000)*0.085+MAX(0,MIN(A103,400000)-250000)*0.1+MAX(0,MIN(A103,750000)-400000)*0.125+MAX(0,MIN(A103,1500000)-750000)*0.15+MAX(0,A103-1500000)*0.17),(MAX(0,MIN(A103,400000)-225000)*0.06+MAX(0,MIN(A103,750000)-400000)*0.075+MAX(0,MIN(A103,1500000)-750000)*0.1+MAX(0,A103-1500000)*0.12))),0)))))+(Inputs!B14+Inputs!B15+Inputs!B16+Inputs!B17)+(Summary!B14)+(Summary!B15)+(((((A103)*Inputs!B20)+(IF(Inputs!B24="Yes",(Summary!B14)*Inputs!B25,0))*Inputs!B26)*Inputs!B21*Inputs!B10/12)+((((A103)*Inputs!B20)+(IF(Inputs!B24="Yes",(Summary!B14)*Inputs!B25,0)))*Inputs!B22)+((((A103)*Inputs!B20)+(IF(Inputs!B24="Yes",(Summary!B14)*Inputs!B25,0)))*Inputs!B23))+(Summary!B17)))</f>
        <v>-361400</v>
      </c>
      <c r="C103" t="str">
        <f t="shared" si="2"/>
        <v/>
      </c>
    </row>
    <row r="104" spans="1:3" x14ac:dyDescent="0.2">
      <c r="A104" s="16">
        <f>$B$5+(93)*$B$7</f>
        <v>565000</v>
      </c>
      <c r="B104" s="16">
        <f>IF(A104&gt;$B$6,"",(Inputs!B6)-((A104)+(IF(Inputs!D13&lt;&gt;"",Inputs!D13,IF(Inputs!B7="England &amp; N. Ireland",(IF(Inputs!B8="First-time buyer",(IF(A104&lt;=500000,MAX(0,A104-300000)*0.05,(MAX(0,MIN(A104,250000)-125000)*0.02+MAX(0,MIN(A104,925000)-250000)*0.05+MAX(0,MIN(A104,1500000)-925000)*0.1+MAX(0,A104-1500000)*0.12))),(MAX(0,MIN(A104,250000)-125000)*0.02+MAX(0,MIN(A104,925000)-250000)*0.05+MAX(0,MIN(A104,1500000)-925000)*0.1+MAX(0,A104-1500000)*0.12)+IF(Inputs!B8="Additional / Investor",0.05*A104,0)+IF(Inputs!B9="Yes",0.02*A104,0))),IF(Inputs!B7="Scotland",((MAX(0,MIN(A104,250000)-145000)*0.02+MAX(0,MIN(A104,325000)-250000)*0.05+MAX(0,MIN(A104,750000)-325000)*0.1+MAX(0,A104-750000)*0.12)-IF(Inputs!B8="First-time buyer",(IF(A104&gt;145000,MIN(600,0.02*(MIN(A104,175000)-145000)),0)),0)+IF(Inputs!B8="Additional / Investor",0.08*A104,0)),IF(Inputs!B7="Wales",(IF(Inputs!B8="Additional / Investor",(MIN(A104,180000)*0.05+MAX(0,MIN(A104,250000)-180000)*0.085+MAX(0,MIN(A104,400000)-250000)*0.1+MAX(0,MIN(A104,750000)-400000)*0.125+MAX(0,MIN(A104,1500000)-750000)*0.15+MAX(0,A104-1500000)*0.17),(MAX(0,MIN(A104,400000)-225000)*0.06+MAX(0,MIN(A104,750000)-400000)*0.075+MAX(0,MIN(A104,1500000)-750000)*0.1+MAX(0,A104-1500000)*0.12))),0)))))+(Inputs!B14+Inputs!B15+Inputs!B16+Inputs!B17)+(Summary!B14)+(Summary!B15)+(((((A104)*Inputs!B20)+(IF(Inputs!B24="Yes",(Summary!B14)*Inputs!B25,0))*Inputs!B26)*Inputs!B21*Inputs!B10/12)+((((A104)*Inputs!B20)+(IF(Inputs!B24="Yes",(Summary!B14)*Inputs!B25,0)))*Inputs!B22)+((((A104)*Inputs!B20)+(IF(Inputs!B24="Yes",(Summary!B14)*Inputs!B25,0)))*Inputs!B23))+(Summary!B17)))</f>
        <v>-367237.5</v>
      </c>
      <c r="C104" t="str">
        <f t="shared" si="2"/>
        <v/>
      </c>
    </row>
    <row r="105" spans="1:3" x14ac:dyDescent="0.2">
      <c r="A105" s="16">
        <f>$B$5+(94)*$B$7</f>
        <v>570000</v>
      </c>
      <c r="B105" s="16">
        <f>IF(A105&gt;$B$6,"",(Inputs!B6)-((A105)+(IF(Inputs!D13&lt;&gt;"",Inputs!D13,IF(Inputs!B7="England &amp; N. Ireland",(IF(Inputs!B8="First-time buyer",(IF(A105&lt;=500000,MAX(0,A105-300000)*0.05,(MAX(0,MIN(A105,250000)-125000)*0.02+MAX(0,MIN(A105,925000)-250000)*0.05+MAX(0,MIN(A105,1500000)-925000)*0.1+MAX(0,A105-1500000)*0.12))),(MAX(0,MIN(A105,250000)-125000)*0.02+MAX(0,MIN(A105,925000)-250000)*0.05+MAX(0,MIN(A105,1500000)-925000)*0.1+MAX(0,A105-1500000)*0.12)+IF(Inputs!B8="Additional / Investor",0.05*A105,0)+IF(Inputs!B9="Yes",0.02*A105,0))),IF(Inputs!B7="Scotland",((MAX(0,MIN(A105,250000)-145000)*0.02+MAX(0,MIN(A105,325000)-250000)*0.05+MAX(0,MIN(A105,750000)-325000)*0.1+MAX(0,A105-750000)*0.12)-IF(Inputs!B8="First-time buyer",(IF(A105&gt;145000,MIN(600,0.02*(MIN(A105,175000)-145000)),0)),0)+IF(Inputs!B8="Additional / Investor",0.08*A105,0)),IF(Inputs!B7="Wales",(IF(Inputs!B8="Additional / Investor",(MIN(A105,180000)*0.05+MAX(0,MIN(A105,250000)-180000)*0.085+MAX(0,MIN(A105,400000)-250000)*0.1+MAX(0,MIN(A105,750000)-400000)*0.125+MAX(0,MIN(A105,1500000)-750000)*0.15+MAX(0,A105-1500000)*0.17),(MAX(0,MIN(A105,400000)-225000)*0.06+MAX(0,MIN(A105,750000)-400000)*0.075+MAX(0,MIN(A105,1500000)-750000)*0.1+MAX(0,A105-1500000)*0.12))),0)))))+(Inputs!B14+Inputs!B15+Inputs!B16+Inputs!B17)+(Summary!B14)+(Summary!B15)+(((((A105)*Inputs!B20)+(IF(Inputs!B24="Yes",(Summary!B14)*Inputs!B25,0))*Inputs!B26)*Inputs!B21*Inputs!B10/12)+((((A105)*Inputs!B20)+(IF(Inputs!B24="Yes",(Summary!B14)*Inputs!B25,0)))*Inputs!B22)+((((A105)*Inputs!B20)+(IF(Inputs!B24="Yes",(Summary!B14)*Inputs!B25,0)))*Inputs!B23))+(Summary!B17)))</f>
        <v>-373075</v>
      </c>
      <c r="C105" t="str">
        <f t="shared" si="2"/>
        <v/>
      </c>
    </row>
    <row r="106" spans="1:3" x14ac:dyDescent="0.2">
      <c r="A106" s="16">
        <f>$B$5+(95)*$B$7</f>
        <v>575000</v>
      </c>
      <c r="B106" s="16">
        <f>IF(A106&gt;$B$6,"",(Inputs!B6)-((A106)+(IF(Inputs!D13&lt;&gt;"",Inputs!D13,IF(Inputs!B7="England &amp; N. Ireland",(IF(Inputs!B8="First-time buyer",(IF(A106&lt;=500000,MAX(0,A106-300000)*0.05,(MAX(0,MIN(A106,250000)-125000)*0.02+MAX(0,MIN(A106,925000)-250000)*0.05+MAX(0,MIN(A106,1500000)-925000)*0.1+MAX(0,A106-1500000)*0.12))),(MAX(0,MIN(A106,250000)-125000)*0.02+MAX(0,MIN(A106,925000)-250000)*0.05+MAX(0,MIN(A106,1500000)-925000)*0.1+MAX(0,A106-1500000)*0.12)+IF(Inputs!B8="Additional / Investor",0.05*A106,0)+IF(Inputs!B9="Yes",0.02*A106,0))),IF(Inputs!B7="Scotland",((MAX(0,MIN(A106,250000)-145000)*0.02+MAX(0,MIN(A106,325000)-250000)*0.05+MAX(0,MIN(A106,750000)-325000)*0.1+MAX(0,A106-750000)*0.12)-IF(Inputs!B8="First-time buyer",(IF(A106&gt;145000,MIN(600,0.02*(MIN(A106,175000)-145000)),0)),0)+IF(Inputs!B8="Additional / Investor",0.08*A106,0)),IF(Inputs!B7="Wales",(IF(Inputs!B8="Additional / Investor",(MIN(A106,180000)*0.05+MAX(0,MIN(A106,250000)-180000)*0.085+MAX(0,MIN(A106,400000)-250000)*0.1+MAX(0,MIN(A106,750000)-400000)*0.125+MAX(0,MIN(A106,1500000)-750000)*0.15+MAX(0,A106-1500000)*0.17),(MAX(0,MIN(A106,400000)-225000)*0.06+MAX(0,MIN(A106,750000)-400000)*0.075+MAX(0,MIN(A106,1500000)-750000)*0.1+MAX(0,A106-1500000)*0.12))),0)))))+(Inputs!B14+Inputs!B15+Inputs!B16+Inputs!B17)+(Summary!B14)+(Summary!B15)+(((((A106)*Inputs!B20)+(IF(Inputs!B24="Yes",(Summary!B14)*Inputs!B25,0))*Inputs!B26)*Inputs!B21*Inputs!B10/12)+((((A106)*Inputs!B20)+(IF(Inputs!B24="Yes",(Summary!B14)*Inputs!B25,0)))*Inputs!B22)+((((A106)*Inputs!B20)+(IF(Inputs!B24="Yes",(Summary!B14)*Inputs!B25,0)))*Inputs!B23))+(Summary!B17)))</f>
        <v>-378912.5</v>
      </c>
      <c r="C106" t="str">
        <f t="shared" si="2"/>
        <v/>
      </c>
    </row>
    <row r="107" spans="1:3" x14ac:dyDescent="0.2">
      <c r="A107" s="16">
        <f>$B$5+(96)*$B$7</f>
        <v>580000</v>
      </c>
      <c r="B107" s="16">
        <f>IF(A107&gt;$B$6,"",(Inputs!B6)-((A107)+(IF(Inputs!D13&lt;&gt;"",Inputs!D13,IF(Inputs!B7="England &amp; N. Ireland",(IF(Inputs!B8="First-time buyer",(IF(A107&lt;=500000,MAX(0,A107-300000)*0.05,(MAX(0,MIN(A107,250000)-125000)*0.02+MAX(0,MIN(A107,925000)-250000)*0.05+MAX(0,MIN(A107,1500000)-925000)*0.1+MAX(0,A107-1500000)*0.12))),(MAX(0,MIN(A107,250000)-125000)*0.02+MAX(0,MIN(A107,925000)-250000)*0.05+MAX(0,MIN(A107,1500000)-925000)*0.1+MAX(0,A107-1500000)*0.12)+IF(Inputs!B8="Additional / Investor",0.05*A107,0)+IF(Inputs!B9="Yes",0.02*A107,0))),IF(Inputs!B7="Scotland",((MAX(0,MIN(A107,250000)-145000)*0.02+MAX(0,MIN(A107,325000)-250000)*0.05+MAX(0,MIN(A107,750000)-325000)*0.1+MAX(0,A107-750000)*0.12)-IF(Inputs!B8="First-time buyer",(IF(A107&gt;145000,MIN(600,0.02*(MIN(A107,175000)-145000)),0)),0)+IF(Inputs!B8="Additional / Investor",0.08*A107,0)),IF(Inputs!B7="Wales",(IF(Inputs!B8="Additional / Investor",(MIN(A107,180000)*0.05+MAX(0,MIN(A107,250000)-180000)*0.085+MAX(0,MIN(A107,400000)-250000)*0.1+MAX(0,MIN(A107,750000)-400000)*0.125+MAX(0,MIN(A107,1500000)-750000)*0.15+MAX(0,A107-1500000)*0.17),(MAX(0,MIN(A107,400000)-225000)*0.06+MAX(0,MIN(A107,750000)-400000)*0.075+MAX(0,MIN(A107,1500000)-750000)*0.1+MAX(0,A107-1500000)*0.12))),0)))))+(Inputs!B14+Inputs!B15+Inputs!B16+Inputs!B17)+(Summary!B14)+(Summary!B15)+(((((A107)*Inputs!B20)+(IF(Inputs!B24="Yes",(Summary!B14)*Inputs!B25,0))*Inputs!B26)*Inputs!B21*Inputs!B10/12)+((((A107)*Inputs!B20)+(IF(Inputs!B24="Yes",(Summary!B14)*Inputs!B25,0)))*Inputs!B22)+((((A107)*Inputs!B20)+(IF(Inputs!B24="Yes",(Summary!B14)*Inputs!B25,0)))*Inputs!B23))+(Summary!B17)))</f>
        <v>-384750</v>
      </c>
      <c r="C107" t="str">
        <f t="shared" ref="C107:C138" si="3">IF(A107&gt;$B$6,"","")</f>
        <v/>
      </c>
    </row>
    <row r="108" spans="1:3" x14ac:dyDescent="0.2">
      <c r="A108" s="16">
        <f>$B$5+(97)*$B$7</f>
        <v>585000</v>
      </c>
      <c r="B108" s="16">
        <f>IF(A108&gt;$B$6,"",(Inputs!B6)-((A108)+(IF(Inputs!D13&lt;&gt;"",Inputs!D13,IF(Inputs!B7="England &amp; N. Ireland",(IF(Inputs!B8="First-time buyer",(IF(A108&lt;=500000,MAX(0,A108-300000)*0.05,(MAX(0,MIN(A108,250000)-125000)*0.02+MAX(0,MIN(A108,925000)-250000)*0.05+MAX(0,MIN(A108,1500000)-925000)*0.1+MAX(0,A108-1500000)*0.12))),(MAX(0,MIN(A108,250000)-125000)*0.02+MAX(0,MIN(A108,925000)-250000)*0.05+MAX(0,MIN(A108,1500000)-925000)*0.1+MAX(0,A108-1500000)*0.12)+IF(Inputs!B8="Additional / Investor",0.05*A108,0)+IF(Inputs!B9="Yes",0.02*A108,0))),IF(Inputs!B7="Scotland",((MAX(0,MIN(A108,250000)-145000)*0.02+MAX(0,MIN(A108,325000)-250000)*0.05+MAX(0,MIN(A108,750000)-325000)*0.1+MAX(0,A108-750000)*0.12)-IF(Inputs!B8="First-time buyer",(IF(A108&gt;145000,MIN(600,0.02*(MIN(A108,175000)-145000)),0)),0)+IF(Inputs!B8="Additional / Investor",0.08*A108,0)),IF(Inputs!B7="Wales",(IF(Inputs!B8="Additional / Investor",(MIN(A108,180000)*0.05+MAX(0,MIN(A108,250000)-180000)*0.085+MAX(0,MIN(A108,400000)-250000)*0.1+MAX(0,MIN(A108,750000)-400000)*0.125+MAX(0,MIN(A108,1500000)-750000)*0.15+MAX(0,A108-1500000)*0.17),(MAX(0,MIN(A108,400000)-225000)*0.06+MAX(0,MIN(A108,750000)-400000)*0.075+MAX(0,MIN(A108,1500000)-750000)*0.1+MAX(0,A108-1500000)*0.12))),0)))))+(Inputs!B14+Inputs!B15+Inputs!B16+Inputs!B17)+(Summary!B14)+(Summary!B15)+(((((A108)*Inputs!B20)+(IF(Inputs!B24="Yes",(Summary!B14)*Inputs!B25,0))*Inputs!B26)*Inputs!B21*Inputs!B10/12)+((((A108)*Inputs!B20)+(IF(Inputs!B24="Yes",(Summary!B14)*Inputs!B25,0)))*Inputs!B22)+((((A108)*Inputs!B20)+(IF(Inputs!B24="Yes",(Summary!B14)*Inputs!B25,0)))*Inputs!B23))+(Summary!B17)))</f>
        <v>-390587.5</v>
      </c>
      <c r="C108" t="str">
        <f t="shared" si="3"/>
        <v/>
      </c>
    </row>
    <row r="109" spans="1:3" x14ac:dyDescent="0.2">
      <c r="A109" s="16">
        <f>$B$5+(98)*$B$7</f>
        <v>590000</v>
      </c>
      <c r="B109" s="16">
        <f>IF(A109&gt;$B$6,"",(Inputs!B6)-((A109)+(IF(Inputs!D13&lt;&gt;"",Inputs!D13,IF(Inputs!B7="England &amp; N. Ireland",(IF(Inputs!B8="First-time buyer",(IF(A109&lt;=500000,MAX(0,A109-300000)*0.05,(MAX(0,MIN(A109,250000)-125000)*0.02+MAX(0,MIN(A109,925000)-250000)*0.05+MAX(0,MIN(A109,1500000)-925000)*0.1+MAX(0,A109-1500000)*0.12))),(MAX(0,MIN(A109,250000)-125000)*0.02+MAX(0,MIN(A109,925000)-250000)*0.05+MAX(0,MIN(A109,1500000)-925000)*0.1+MAX(0,A109-1500000)*0.12)+IF(Inputs!B8="Additional / Investor",0.05*A109,0)+IF(Inputs!B9="Yes",0.02*A109,0))),IF(Inputs!B7="Scotland",((MAX(0,MIN(A109,250000)-145000)*0.02+MAX(0,MIN(A109,325000)-250000)*0.05+MAX(0,MIN(A109,750000)-325000)*0.1+MAX(0,A109-750000)*0.12)-IF(Inputs!B8="First-time buyer",(IF(A109&gt;145000,MIN(600,0.02*(MIN(A109,175000)-145000)),0)),0)+IF(Inputs!B8="Additional / Investor",0.08*A109,0)),IF(Inputs!B7="Wales",(IF(Inputs!B8="Additional / Investor",(MIN(A109,180000)*0.05+MAX(0,MIN(A109,250000)-180000)*0.085+MAX(0,MIN(A109,400000)-250000)*0.1+MAX(0,MIN(A109,750000)-400000)*0.125+MAX(0,MIN(A109,1500000)-750000)*0.15+MAX(0,A109-1500000)*0.17),(MAX(0,MIN(A109,400000)-225000)*0.06+MAX(0,MIN(A109,750000)-400000)*0.075+MAX(0,MIN(A109,1500000)-750000)*0.1+MAX(0,A109-1500000)*0.12))),0)))))+(Inputs!B14+Inputs!B15+Inputs!B16+Inputs!B17)+(Summary!B14)+(Summary!B15)+(((((A109)*Inputs!B20)+(IF(Inputs!B24="Yes",(Summary!B14)*Inputs!B25,0))*Inputs!B26)*Inputs!B21*Inputs!B10/12)+((((A109)*Inputs!B20)+(IF(Inputs!B24="Yes",(Summary!B14)*Inputs!B25,0)))*Inputs!B22)+((((A109)*Inputs!B20)+(IF(Inputs!B24="Yes",(Summary!B14)*Inputs!B25,0)))*Inputs!B23))+(Summary!B17)))</f>
        <v>-396425</v>
      </c>
      <c r="C109" t="str">
        <f t="shared" si="3"/>
        <v/>
      </c>
    </row>
    <row r="110" spans="1:3" x14ac:dyDescent="0.2">
      <c r="A110" s="16">
        <f>$B$5+(99)*$B$7</f>
        <v>595000</v>
      </c>
      <c r="B110" s="16">
        <f>IF(A110&gt;$B$6,"",(Inputs!B6)-((A110)+(IF(Inputs!D13&lt;&gt;"",Inputs!D13,IF(Inputs!B7="England &amp; N. Ireland",(IF(Inputs!B8="First-time buyer",(IF(A110&lt;=500000,MAX(0,A110-300000)*0.05,(MAX(0,MIN(A110,250000)-125000)*0.02+MAX(0,MIN(A110,925000)-250000)*0.05+MAX(0,MIN(A110,1500000)-925000)*0.1+MAX(0,A110-1500000)*0.12))),(MAX(0,MIN(A110,250000)-125000)*0.02+MAX(0,MIN(A110,925000)-250000)*0.05+MAX(0,MIN(A110,1500000)-925000)*0.1+MAX(0,A110-1500000)*0.12)+IF(Inputs!B8="Additional / Investor",0.05*A110,0)+IF(Inputs!B9="Yes",0.02*A110,0))),IF(Inputs!B7="Scotland",((MAX(0,MIN(A110,250000)-145000)*0.02+MAX(0,MIN(A110,325000)-250000)*0.05+MAX(0,MIN(A110,750000)-325000)*0.1+MAX(0,A110-750000)*0.12)-IF(Inputs!B8="First-time buyer",(IF(A110&gt;145000,MIN(600,0.02*(MIN(A110,175000)-145000)),0)),0)+IF(Inputs!B8="Additional / Investor",0.08*A110,0)),IF(Inputs!B7="Wales",(IF(Inputs!B8="Additional / Investor",(MIN(A110,180000)*0.05+MAX(0,MIN(A110,250000)-180000)*0.085+MAX(0,MIN(A110,400000)-250000)*0.1+MAX(0,MIN(A110,750000)-400000)*0.125+MAX(0,MIN(A110,1500000)-750000)*0.15+MAX(0,A110-1500000)*0.17),(MAX(0,MIN(A110,400000)-225000)*0.06+MAX(0,MIN(A110,750000)-400000)*0.075+MAX(0,MIN(A110,1500000)-750000)*0.1+MAX(0,A110-1500000)*0.12))),0)))))+(Inputs!B14+Inputs!B15+Inputs!B16+Inputs!B17)+(Summary!B14)+(Summary!B15)+(((((A110)*Inputs!B20)+(IF(Inputs!B24="Yes",(Summary!B14)*Inputs!B25,0))*Inputs!B26)*Inputs!B21*Inputs!B10/12)+((((A110)*Inputs!B20)+(IF(Inputs!B24="Yes",(Summary!B14)*Inputs!B25,0)))*Inputs!B22)+((((A110)*Inputs!B20)+(IF(Inputs!B24="Yes",(Summary!B14)*Inputs!B25,0)))*Inputs!B23))+(Summary!B17)))</f>
        <v>-402262.5</v>
      </c>
      <c r="C110" t="str">
        <f t="shared" si="3"/>
        <v/>
      </c>
    </row>
    <row r="111" spans="1:3" x14ac:dyDescent="0.2">
      <c r="A111" s="16">
        <f>$B$5+(100)*$B$7</f>
        <v>600000</v>
      </c>
      <c r="B111" s="16">
        <f>IF(A111&gt;$B$6,"",(Inputs!B6)-((A111)+(IF(Inputs!D13&lt;&gt;"",Inputs!D13,IF(Inputs!B7="England &amp; N. Ireland",(IF(Inputs!B8="First-time buyer",(IF(A111&lt;=500000,MAX(0,A111-300000)*0.05,(MAX(0,MIN(A111,250000)-125000)*0.02+MAX(0,MIN(A111,925000)-250000)*0.05+MAX(0,MIN(A111,1500000)-925000)*0.1+MAX(0,A111-1500000)*0.12))),(MAX(0,MIN(A111,250000)-125000)*0.02+MAX(0,MIN(A111,925000)-250000)*0.05+MAX(0,MIN(A111,1500000)-925000)*0.1+MAX(0,A111-1500000)*0.12)+IF(Inputs!B8="Additional / Investor",0.05*A111,0)+IF(Inputs!B9="Yes",0.02*A111,0))),IF(Inputs!B7="Scotland",((MAX(0,MIN(A111,250000)-145000)*0.02+MAX(0,MIN(A111,325000)-250000)*0.05+MAX(0,MIN(A111,750000)-325000)*0.1+MAX(0,A111-750000)*0.12)-IF(Inputs!B8="First-time buyer",(IF(A111&gt;145000,MIN(600,0.02*(MIN(A111,175000)-145000)),0)),0)+IF(Inputs!B8="Additional / Investor",0.08*A111,0)),IF(Inputs!B7="Wales",(IF(Inputs!B8="Additional / Investor",(MIN(A111,180000)*0.05+MAX(0,MIN(A111,250000)-180000)*0.085+MAX(0,MIN(A111,400000)-250000)*0.1+MAX(0,MIN(A111,750000)-400000)*0.125+MAX(0,MIN(A111,1500000)-750000)*0.15+MAX(0,A111-1500000)*0.17),(MAX(0,MIN(A111,400000)-225000)*0.06+MAX(0,MIN(A111,750000)-400000)*0.075+MAX(0,MIN(A111,1500000)-750000)*0.1+MAX(0,A111-1500000)*0.12))),0)))))+(Inputs!B14+Inputs!B15+Inputs!B16+Inputs!B17)+(Summary!B14)+(Summary!B15)+(((((A111)*Inputs!B20)+(IF(Inputs!B24="Yes",(Summary!B14)*Inputs!B25,0))*Inputs!B26)*Inputs!B21*Inputs!B10/12)+((((A111)*Inputs!B20)+(IF(Inputs!B24="Yes",(Summary!B14)*Inputs!B25,0)))*Inputs!B22)+((((A111)*Inputs!B20)+(IF(Inputs!B24="Yes",(Summary!B14)*Inputs!B25,0)))*Inputs!B23))+(Summary!B17)))</f>
        <v>-408100</v>
      </c>
      <c r="C111" t="str">
        <f t="shared" si="3"/>
        <v/>
      </c>
    </row>
    <row r="112" spans="1:3" x14ac:dyDescent="0.2">
      <c r="A112" s="16">
        <f>$B$5+(101)*$B$7</f>
        <v>605000</v>
      </c>
      <c r="B112" s="16" t="str">
        <f>IF(A112&gt;$B$6,"",(Inputs!B6)-((A112)+(IF(Inputs!D13&lt;&gt;"",Inputs!D13,IF(Inputs!B7="England &amp; N. Ireland",(IF(Inputs!B8="First-time buyer",(IF(A112&lt;=500000,MAX(0,A112-300000)*0.05,(MAX(0,MIN(A112,250000)-125000)*0.02+MAX(0,MIN(A112,925000)-250000)*0.05+MAX(0,MIN(A112,1500000)-925000)*0.1+MAX(0,A112-1500000)*0.12))),(MAX(0,MIN(A112,250000)-125000)*0.02+MAX(0,MIN(A112,925000)-250000)*0.05+MAX(0,MIN(A112,1500000)-925000)*0.1+MAX(0,A112-1500000)*0.12)+IF(Inputs!B8="Additional / Investor",0.05*A112,0)+IF(Inputs!B9="Yes",0.02*A112,0))),IF(Inputs!B7="Scotland",((MAX(0,MIN(A112,250000)-145000)*0.02+MAX(0,MIN(A112,325000)-250000)*0.05+MAX(0,MIN(A112,750000)-325000)*0.1+MAX(0,A112-750000)*0.12)-IF(Inputs!B8="First-time buyer",(IF(A112&gt;145000,MIN(600,0.02*(MIN(A112,175000)-145000)),0)),0)+IF(Inputs!B8="Additional / Investor",0.08*A112,0)),IF(Inputs!B7="Wales",(IF(Inputs!B8="Additional / Investor",(MIN(A112,180000)*0.05+MAX(0,MIN(A112,250000)-180000)*0.085+MAX(0,MIN(A112,400000)-250000)*0.1+MAX(0,MIN(A112,750000)-400000)*0.125+MAX(0,MIN(A112,1500000)-750000)*0.15+MAX(0,A112-1500000)*0.17),(MAX(0,MIN(A112,400000)-225000)*0.06+MAX(0,MIN(A112,750000)-400000)*0.075+MAX(0,MIN(A112,1500000)-750000)*0.1+MAX(0,A112-1500000)*0.12))),0)))))+(Inputs!B14+Inputs!B15+Inputs!B16+Inputs!B17)+(Summary!B14)+(Summary!B15)+(((((A112)*Inputs!B20)+(IF(Inputs!B24="Yes",(Summary!B14)*Inputs!B25,0))*Inputs!B26)*Inputs!B21*Inputs!B10/12)+((((A112)*Inputs!B20)+(IF(Inputs!B24="Yes",(Summary!B14)*Inputs!B25,0)))*Inputs!B22)+((((A112)*Inputs!B20)+(IF(Inputs!B24="Yes",(Summary!B14)*Inputs!B25,0)))*Inputs!B23))+(Summary!B17)))</f>
        <v/>
      </c>
      <c r="C112" t="str">
        <f t="shared" si="3"/>
        <v/>
      </c>
    </row>
    <row r="113" spans="1:3" x14ac:dyDescent="0.2">
      <c r="A113" s="16">
        <f>$B$5+(102)*$B$7</f>
        <v>610000</v>
      </c>
      <c r="B113" s="16" t="str">
        <f>IF(A113&gt;$B$6,"",(Inputs!B6)-((A113)+(IF(Inputs!D13&lt;&gt;"",Inputs!D13,IF(Inputs!B7="England &amp; N. Ireland",(IF(Inputs!B8="First-time buyer",(IF(A113&lt;=500000,MAX(0,A113-300000)*0.05,(MAX(0,MIN(A113,250000)-125000)*0.02+MAX(0,MIN(A113,925000)-250000)*0.05+MAX(0,MIN(A113,1500000)-925000)*0.1+MAX(0,A113-1500000)*0.12))),(MAX(0,MIN(A113,250000)-125000)*0.02+MAX(0,MIN(A113,925000)-250000)*0.05+MAX(0,MIN(A113,1500000)-925000)*0.1+MAX(0,A113-1500000)*0.12)+IF(Inputs!B8="Additional / Investor",0.05*A113,0)+IF(Inputs!B9="Yes",0.02*A113,0))),IF(Inputs!B7="Scotland",((MAX(0,MIN(A113,250000)-145000)*0.02+MAX(0,MIN(A113,325000)-250000)*0.05+MAX(0,MIN(A113,750000)-325000)*0.1+MAX(0,A113-750000)*0.12)-IF(Inputs!B8="First-time buyer",(IF(A113&gt;145000,MIN(600,0.02*(MIN(A113,175000)-145000)),0)),0)+IF(Inputs!B8="Additional / Investor",0.08*A113,0)),IF(Inputs!B7="Wales",(IF(Inputs!B8="Additional / Investor",(MIN(A113,180000)*0.05+MAX(0,MIN(A113,250000)-180000)*0.085+MAX(0,MIN(A113,400000)-250000)*0.1+MAX(0,MIN(A113,750000)-400000)*0.125+MAX(0,MIN(A113,1500000)-750000)*0.15+MAX(0,A113-1500000)*0.17),(MAX(0,MIN(A113,400000)-225000)*0.06+MAX(0,MIN(A113,750000)-400000)*0.075+MAX(0,MIN(A113,1500000)-750000)*0.1+MAX(0,A113-1500000)*0.12))),0)))))+(Inputs!B14+Inputs!B15+Inputs!B16+Inputs!B17)+(Summary!B14)+(Summary!B15)+(((((A113)*Inputs!B20)+(IF(Inputs!B24="Yes",(Summary!B14)*Inputs!B25,0))*Inputs!B26)*Inputs!B21*Inputs!B10/12)+((((A113)*Inputs!B20)+(IF(Inputs!B24="Yes",(Summary!B14)*Inputs!B25,0)))*Inputs!B22)+((((A113)*Inputs!B20)+(IF(Inputs!B24="Yes",(Summary!B14)*Inputs!B25,0)))*Inputs!B23))+(Summary!B17)))</f>
        <v/>
      </c>
      <c r="C113" t="str">
        <f t="shared" si="3"/>
        <v/>
      </c>
    </row>
    <row r="114" spans="1:3" x14ac:dyDescent="0.2">
      <c r="A114" s="16">
        <f>$B$5+(103)*$B$7</f>
        <v>615000</v>
      </c>
      <c r="B114" s="16" t="str">
        <f>IF(A114&gt;$B$6,"",(Inputs!B6)-((A114)+(IF(Inputs!D13&lt;&gt;"",Inputs!D13,IF(Inputs!B7="England &amp; N. Ireland",(IF(Inputs!B8="First-time buyer",(IF(A114&lt;=500000,MAX(0,A114-300000)*0.05,(MAX(0,MIN(A114,250000)-125000)*0.02+MAX(0,MIN(A114,925000)-250000)*0.05+MAX(0,MIN(A114,1500000)-925000)*0.1+MAX(0,A114-1500000)*0.12))),(MAX(0,MIN(A114,250000)-125000)*0.02+MAX(0,MIN(A114,925000)-250000)*0.05+MAX(0,MIN(A114,1500000)-925000)*0.1+MAX(0,A114-1500000)*0.12)+IF(Inputs!B8="Additional / Investor",0.05*A114,0)+IF(Inputs!B9="Yes",0.02*A114,0))),IF(Inputs!B7="Scotland",((MAX(0,MIN(A114,250000)-145000)*0.02+MAX(0,MIN(A114,325000)-250000)*0.05+MAX(0,MIN(A114,750000)-325000)*0.1+MAX(0,A114-750000)*0.12)-IF(Inputs!B8="First-time buyer",(IF(A114&gt;145000,MIN(600,0.02*(MIN(A114,175000)-145000)),0)),0)+IF(Inputs!B8="Additional / Investor",0.08*A114,0)),IF(Inputs!B7="Wales",(IF(Inputs!B8="Additional / Investor",(MIN(A114,180000)*0.05+MAX(0,MIN(A114,250000)-180000)*0.085+MAX(0,MIN(A114,400000)-250000)*0.1+MAX(0,MIN(A114,750000)-400000)*0.125+MAX(0,MIN(A114,1500000)-750000)*0.15+MAX(0,A114-1500000)*0.17),(MAX(0,MIN(A114,400000)-225000)*0.06+MAX(0,MIN(A114,750000)-400000)*0.075+MAX(0,MIN(A114,1500000)-750000)*0.1+MAX(0,A114-1500000)*0.12))),0)))))+(Inputs!B14+Inputs!B15+Inputs!B16+Inputs!B17)+(Summary!B14)+(Summary!B15)+(((((A114)*Inputs!B20)+(IF(Inputs!B24="Yes",(Summary!B14)*Inputs!B25,0))*Inputs!B26)*Inputs!B21*Inputs!B10/12)+((((A114)*Inputs!B20)+(IF(Inputs!B24="Yes",(Summary!B14)*Inputs!B25,0)))*Inputs!B22)+((((A114)*Inputs!B20)+(IF(Inputs!B24="Yes",(Summary!B14)*Inputs!B25,0)))*Inputs!B23))+(Summary!B17)))</f>
        <v/>
      </c>
      <c r="C114" t="str">
        <f t="shared" si="3"/>
        <v/>
      </c>
    </row>
    <row r="115" spans="1:3" x14ac:dyDescent="0.2">
      <c r="A115" s="16">
        <f>$B$5+(104)*$B$7</f>
        <v>620000</v>
      </c>
      <c r="B115" s="16" t="str">
        <f>IF(A115&gt;$B$6,"",(Inputs!B6)-((A115)+(IF(Inputs!D13&lt;&gt;"",Inputs!D13,IF(Inputs!B7="England &amp; N. Ireland",(IF(Inputs!B8="First-time buyer",(IF(A115&lt;=500000,MAX(0,A115-300000)*0.05,(MAX(0,MIN(A115,250000)-125000)*0.02+MAX(0,MIN(A115,925000)-250000)*0.05+MAX(0,MIN(A115,1500000)-925000)*0.1+MAX(0,A115-1500000)*0.12))),(MAX(0,MIN(A115,250000)-125000)*0.02+MAX(0,MIN(A115,925000)-250000)*0.05+MAX(0,MIN(A115,1500000)-925000)*0.1+MAX(0,A115-1500000)*0.12)+IF(Inputs!B8="Additional / Investor",0.05*A115,0)+IF(Inputs!B9="Yes",0.02*A115,0))),IF(Inputs!B7="Scotland",((MAX(0,MIN(A115,250000)-145000)*0.02+MAX(0,MIN(A115,325000)-250000)*0.05+MAX(0,MIN(A115,750000)-325000)*0.1+MAX(0,A115-750000)*0.12)-IF(Inputs!B8="First-time buyer",(IF(A115&gt;145000,MIN(600,0.02*(MIN(A115,175000)-145000)),0)),0)+IF(Inputs!B8="Additional / Investor",0.08*A115,0)),IF(Inputs!B7="Wales",(IF(Inputs!B8="Additional / Investor",(MIN(A115,180000)*0.05+MAX(0,MIN(A115,250000)-180000)*0.085+MAX(0,MIN(A115,400000)-250000)*0.1+MAX(0,MIN(A115,750000)-400000)*0.125+MAX(0,MIN(A115,1500000)-750000)*0.15+MAX(0,A115-1500000)*0.17),(MAX(0,MIN(A115,400000)-225000)*0.06+MAX(0,MIN(A115,750000)-400000)*0.075+MAX(0,MIN(A115,1500000)-750000)*0.1+MAX(0,A115-1500000)*0.12))),0)))))+(Inputs!B14+Inputs!B15+Inputs!B16+Inputs!B17)+(Summary!B14)+(Summary!B15)+(((((A115)*Inputs!B20)+(IF(Inputs!B24="Yes",(Summary!B14)*Inputs!B25,0))*Inputs!B26)*Inputs!B21*Inputs!B10/12)+((((A115)*Inputs!B20)+(IF(Inputs!B24="Yes",(Summary!B14)*Inputs!B25,0)))*Inputs!B22)+((((A115)*Inputs!B20)+(IF(Inputs!B24="Yes",(Summary!B14)*Inputs!B25,0)))*Inputs!B23))+(Summary!B17)))</f>
        <v/>
      </c>
      <c r="C115" t="str">
        <f t="shared" si="3"/>
        <v/>
      </c>
    </row>
    <row r="116" spans="1:3" x14ac:dyDescent="0.2">
      <c r="A116" s="16">
        <f>$B$5+(105)*$B$7</f>
        <v>625000</v>
      </c>
      <c r="B116" s="16" t="str">
        <f>IF(A116&gt;$B$6,"",(Inputs!B6)-((A116)+(IF(Inputs!D13&lt;&gt;"",Inputs!D13,IF(Inputs!B7="England &amp; N. Ireland",(IF(Inputs!B8="First-time buyer",(IF(A116&lt;=500000,MAX(0,A116-300000)*0.05,(MAX(0,MIN(A116,250000)-125000)*0.02+MAX(0,MIN(A116,925000)-250000)*0.05+MAX(0,MIN(A116,1500000)-925000)*0.1+MAX(0,A116-1500000)*0.12))),(MAX(0,MIN(A116,250000)-125000)*0.02+MAX(0,MIN(A116,925000)-250000)*0.05+MAX(0,MIN(A116,1500000)-925000)*0.1+MAX(0,A116-1500000)*0.12)+IF(Inputs!B8="Additional / Investor",0.05*A116,0)+IF(Inputs!B9="Yes",0.02*A116,0))),IF(Inputs!B7="Scotland",((MAX(0,MIN(A116,250000)-145000)*0.02+MAX(0,MIN(A116,325000)-250000)*0.05+MAX(0,MIN(A116,750000)-325000)*0.1+MAX(0,A116-750000)*0.12)-IF(Inputs!B8="First-time buyer",(IF(A116&gt;145000,MIN(600,0.02*(MIN(A116,175000)-145000)),0)),0)+IF(Inputs!B8="Additional / Investor",0.08*A116,0)),IF(Inputs!B7="Wales",(IF(Inputs!B8="Additional / Investor",(MIN(A116,180000)*0.05+MAX(0,MIN(A116,250000)-180000)*0.085+MAX(0,MIN(A116,400000)-250000)*0.1+MAX(0,MIN(A116,750000)-400000)*0.125+MAX(0,MIN(A116,1500000)-750000)*0.15+MAX(0,A116-1500000)*0.17),(MAX(0,MIN(A116,400000)-225000)*0.06+MAX(0,MIN(A116,750000)-400000)*0.075+MAX(0,MIN(A116,1500000)-750000)*0.1+MAX(0,A116-1500000)*0.12))),0)))))+(Inputs!B14+Inputs!B15+Inputs!B16+Inputs!B17)+(Summary!B14)+(Summary!B15)+(((((A116)*Inputs!B20)+(IF(Inputs!B24="Yes",(Summary!B14)*Inputs!B25,0))*Inputs!B26)*Inputs!B21*Inputs!B10/12)+((((A116)*Inputs!B20)+(IF(Inputs!B24="Yes",(Summary!B14)*Inputs!B25,0)))*Inputs!B22)+((((A116)*Inputs!B20)+(IF(Inputs!B24="Yes",(Summary!B14)*Inputs!B25,0)))*Inputs!B23))+(Summary!B17)))</f>
        <v/>
      </c>
      <c r="C116" t="str">
        <f t="shared" si="3"/>
        <v/>
      </c>
    </row>
    <row r="117" spans="1:3" x14ac:dyDescent="0.2">
      <c r="A117" s="16">
        <f>$B$5+(106)*$B$7</f>
        <v>630000</v>
      </c>
      <c r="B117" s="16" t="str">
        <f>IF(A117&gt;$B$6,"",(Inputs!B6)-((A117)+(IF(Inputs!D13&lt;&gt;"",Inputs!D13,IF(Inputs!B7="England &amp; N. Ireland",(IF(Inputs!B8="First-time buyer",(IF(A117&lt;=500000,MAX(0,A117-300000)*0.05,(MAX(0,MIN(A117,250000)-125000)*0.02+MAX(0,MIN(A117,925000)-250000)*0.05+MAX(0,MIN(A117,1500000)-925000)*0.1+MAX(0,A117-1500000)*0.12))),(MAX(0,MIN(A117,250000)-125000)*0.02+MAX(0,MIN(A117,925000)-250000)*0.05+MAX(0,MIN(A117,1500000)-925000)*0.1+MAX(0,A117-1500000)*0.12)+IF(Inputs!B8="Additional / Investor",0.05*A117,0)+IF(Inputs!B9="Yes",0.02*A117,0))),IF(Inputs!B7="Scotland",((MAX(0,MIN(A117,250000)-145000)*0.02+MAX(0,MIN(A117,325000)-250000)*0.05+MAX(0,MIN(A117,750000)-325000)*0.1+MAX(0,A117-750000)*0.12)-IF(Inputs!B8="First-time buyer",(IF(A117&gt;145000,MIN(600,0.02*(MIN(A117,175000)-145000)),0)),0)+IF(Inputs!B8="Additional / Investor",0.08*A117,0)),IF(Inputs!B7="Wales",(IF(Inputs!B8="Additional / Investor",(MIN(A117,180000)*0.05+MAX(0,MIN(A117,250000)-180000)*0.085+MAX(0,MIN(A117,400000)-250000)*0.1+MAX(0,MIN(A117,750000)-400000)*0.125+MAX(0,MIN(A117,1500000)-750000)*0.15+MAX(0,A117-1500000)*0.17),(MAX(0,MIN(A117,400000)-225000)*0.06+MAX(0,MIN(A117,750000)-400000)*0.075+MAX(0,MIN(A117,1500000)-750000)*0.1+MAX(0,A117-1500000)*0.12))),0)))))+(Inputs!B14+Inputs!B15+Inputs!B16+Inputs!B17)+(Summary!B14)+(Summary!B15)+(((((A117)*Inputs!B20)+(IF(Inputs!B24="Yes",(Summary!B14)*Inputs!B25,0))*Inputs!B26)*Inputs!B21*Inputs!B10/12)+((((A117)*Inputs!B20)+(IF(Inputs!B24="Yes",(Summary!B14)*Inputs!B25,0)))*Inputs!B22)+((((A117)*Inputs!B20)+(IF(Inputs!B24="Yes",(Summary!B14)*Inputs!B25,0)))*Inputs!B23))+(Summary!B17)))</f>
        <v/>
      </c>
      <c r="C117" t="str">
        <f t="shared" si="3"/>
        <v/>
      </c>
    </row>
    <row r="118" spans="1:3" x14ac:dyDescent="0.2">
      <c r="A118" s="16">
        <f>$B$5+(107)*$B$7</f>
        <v>635000</v>
      </c>
      <c r="B118" s="16" t="str">
        <f>IF(A118&gt;$B$6,"",(Inputs!B6)-((A118)+(IF(Inputs!D13&lt;&gt;"",Inputs!D13,IF(Inputs!B7="England &amp; N. Ireland",(IF(Inputs!B8="First-time buyer",(IF(A118&lt;=500000,MAX(0,A118-300000)*0.05,(MAX(0,MIN(A118,250000)-125000)*0.02+MAX(0,MIN(A118,925000)-250000)*0.05+MAX(0,MIN(A118,1500000)-925000)*0.1+MAX(0,A118-1500000)*0.12))),(MAX(0,MIN(A118,250000)-125000)*0.02+MAX(0,MIN(A118,925000)-250000)*0.05+MAX(0,MIN(A118,1500000)-925000)*0.1+MAX(0,A118-1500000)*0.12)+IF(Inputs!B8="Additional / Investor",0.05*A118,0)+IF(Inputs!B9="Yes",0.02*A118,0))),IF(Inputs!B7="Scotland",((MAX(0,MIN(A118,250000)-145000)*0.02+MAX(0,MIN(A118,325000)-250000)*0.05+MAX(0,MIN(A118,750000)-325000)*0.1+MAX(0,A118-750000)*0.12)-IF(Inputs!B8="First-time buyer",(IF(A118&gt;145000,MIN(600,0.02*(MIN(A118,175000)-145000)),0)),0)+IF(Inputs!B8="Additional / Investor",0.08*A118,0)),IF(Inputs!B7="Wales",(IF(Inputs!B8="Additional / Investor",(MIN(A118,180000)*0.05+MAX(0,MIN(A118,250000)-180000)*0.085+MAX(0,MIN(A118,400000)-250000)*0.1+MAX(0,MIN(A118,750000)-400000)*0.125+MAX(0,MIN(A118,1500000)-750000)*0.15+MAX(0,A118-1500000)*0.17),(MAX(0,MIN(A118,400000)-225000)*0.06+MAX(0,MIN(A118,750000)-400000)*0.075+MAX(0,MIN(A118,1500000)-750000)*0.1+MAX(0,A118-1500000)*0.12))),0)))))+(Inputs!B14+Inputs!B15+Inputs!B16+Inputs!B17)+(Summary!B14)+(Summary!B15)+(((((A118)*Inputs!B20)+(IF(Inputs!B24="Yes",(Summary!B14)*Inputs!B25,0))*Inputs!B26)*Inputs!B21*Inputs!B10/12)+((((A118)*Inputs!B20)+(IF(Inputs!B24="Yes",(Summary!B14)*Inputs!B25,0)))*Inputs!B22)+((((A118)*Inputs!B20)+(IF(Inputs!B24="Yes",(Summary!B14)*Inputs!B25,0)))*Inputs!B23))+(Summary!B17)))</f>
        <v/>
      </c>
      <c r="C118" t="str">
        <f t="shared" si="3"/>
        <v/>
      </c>
    </row>
    <row r="119" spans="1:3" x14ac:dyDescent="0.2">
      <c r="A119" s="16">
        <f>$B$5+(108)*$B$7</f>
        <v>640000</v>
      </c>
      <c r="B119" s="16" t="str">
        <f>IF(A119&gt;$B$6,"",(Inputs!B6)-((A119)+(IF(Inputs!D13&lt;&gt;"",Inputs!D13,IF(Inputs!B7="England &amp; N. Ireland",(IF(Inputs!B8="First-time buyer",(IF(A119&lt;=500000,MAX(0,A119-300000)*0.05,(MAX(0,MIN(A119,250000)-125000)*0.02+MAX(0,MIN(A119,925000)-250000)*0.05+MAX(0,MIN(A119,1500000)-925000)*0.1+MAX(0,A119-1500000)*0.12))),(MAX(0,MIN(A119,250000)-125000)*0.02+MAX(0,MIN(A119,925000)-250000)*0.05+MAX(0,MIN(A119,1500000)-925000)*0.1+MAX(0,A119-1500000)*0.12)+IF(Inputs!B8="Additional / Investor",0.05*A119,0)+IF(Inputs!B9="Yes",0.02*A119,0))),IF(Inputs!B7="Scotland",((MAX(0,MIN(A119,250000)-145000)*0.02+MAX(0,MIN(A119,325000)-250000)*0.05+MAX(0,MIN(A119,750000)-325000)*0.1+MAX(0,A119-750000)*0.12)-IF(Inputs!B8="First-time buyer",(IF(A119&gt;145000,MIN(600,0.02*(MIN(A119,175000)-145000)),0)),0)+IF(Inputs!B8="Additional / Investor",0.08*A119,0)),IF(Inputs!B7="Wales",(IF(Inputs!B8="Additional / Investor",(MIN(A119,180000)*0.05+MAX(0,MIN(A119,250000)-180000)*0.085+MAX(0,MIN(A119,400000)-250000)*0.1+MAX(0,MIN(A119,750000)-400000)*0.125+MAX(0,MIN(A119,1500000)-750000)*0.15+MAX(0,A119-1500000)*0.17),(MAX(0,MIN(A119,400000)-225000)*0.06+MAX(0,MIN(A119,750000)-400000)*0.075+MAX(0,MIN(A119,1500000)-750000)*0.1+MAX(0,A119-1500000)*0.12))),0)))))+(Inputs!B14+Inputs!B15+Inputs!B16+Inputs!B17)+(Summary!B14)+(Summary!B15)+(((((A119)*Inputs!B20)+(IF(Inputs!B24="Yes",(Summary!B14)*Inputs!B25,0))*Inputs!B26)*Inputs!B21*Inputs!B10/12)+((((A119)*Inputs!B20)+(IF(Inputs!B24="Yes",(Summary!B14)*Inputs!B25,0)))*Inputs!B22)+((((A119)*Inputs!B20)+(IF(Inputs!B24="Yes",(Summary!B14)*Inputs!B25,0)))*Inputs!B23))+(Summary!B17)))</f>
        <v/>
      </c>
      <c r="C119" t="str">
        <f t="shared" si="3"/>
        <v/>
      </c>
    </row>
    <row r="120" spans="1:3" x14ac:dyDescent="0.2">
      <c r="A120" s="16">
        <f>$B$5+(109)*$B$7</f>
        <v>645000</v>
      </c>
      <c r="B120" s="16" t="str">
        <f>IF(A120&gt;$B$6,"",(Inputs!B6)-((A120)+(IF(Inputs!D13&lt;&gt;"",Inputs!D13,IF(Inputs!B7="England &amp; N. Ireland",(IF(Inputs!B8="First-time buyer",(IF(A120&lt;=500000,MAX(0,A120-300000)*0.05,(MAX(0,MIN(A120,250000)-125000)*0.02+MAX(0,MIN(A120,925000)-250000)*0.05+MAX(0,MIN(A120,1500000)-925000)*0.1+MAX(0,A120-1500000)*0.12))),(MAX(0,MIN(A120,250000)-125000)*0.02+MAX(0,MIN(A120,925000)-250000)*0.05+MAX(0,MIN(A120,1500000)-925000)*0.1+MAX(0,A120-1500000)*0.12)+IF(Inputs!B8="Additional / Investor",0.05*A120,0)+IF(Inputs!B9="Yes",0.02*A120,0))),IF(Inputs!B7="Scotland",((MAX(0,MIN(A120,250000)-145000)*0.02+MAX(0,MIN(A120,325000)-250000)*0.05+MAX(0,MIN(A120,750000)-325000)*0.1+MAX(0,A120-750000)*0.12)-IF(Inputs!B8="First-time buyer",(IF(A120&gt;145000,MIN(600,0.02*(MIN(A120,175000)-145000)),0)),0)+IF(Inputs!B8="Additional / Investor",0.08*A120,0)),IF(Inputs!B7="Wales",(IF(Inputs!B8="Additional / Investor",(MIN(A120,180000)*0.05+MAX(0,MIN(A120,250000)-180000)*0.085+MAX(0,MIN(A120,400000)-250000)*0.1+MAX(0,MIN(A120,750000)-400000)*0.125+MAX(0,MIN(A120,1500000)-750000)*0.15+MAX(0,A120-1500000)*0.17),(MAX(0,MIN(A120,400000)-225000)*0.06+MAX(0,MIN(A120,750000)-400000)*0.075+MAX(0,MIN(A120,1500000)-750000)*0.1+MAX(0,A120-1500000)*0.12))),0)))))+(Inputs!B14+Inputs!B15+Inputs!B16+Inputs!B17)+(Summary!B14)+(Summary!B15)+(((((A120)*Inputs!B20)+(IF(Inputs!B24="Yes",(Summary!B14)*Inputs!B25,0))*Inputs!B26)*Inputs!B21*Inputs!B10/12)+((((A120)*Inputs!B20)+(IF(Inputs!B24="Yes",(Summary!B14)*Inputs!B25,0)))*Inputs!B22)+((((A120)*Inputs!B20)+(IF(Inputs!B24="Yes",(Summary!B14)*Inputs!B25,0)))*Inputs!B23))+(Summary!B17)))</f>
        <v/>
      </c>
      <c r="C120" t="str">
        <f t="shared" si="3"/>
        <v/>
      </c>
    </row>
    <row r="121" spans="1:3" x14ac:dyDescent="0.2">
      <c r="A121" s="16">
        <f>$B$5+(110)*$B$7</f>
        <v>650000</v>
      </c>
      <c r="B121" s="16" t="str">
        <f>IF(A121&gt;$B$6,"",(Inputs!B6)-((A121)+(IF(Inputs!D13&lt;&gt;"",Inputs!D13,IF(Inputs!B7="England &amp; N. Ireland",(IF(Inputs!B8="First-time buyer",(IF(A121&lt;=500000,MAX(0,A121-300000)*0.05,(MAX(0,MIN(A121,250000)-125000)*0.02+MAX(0,MIN(A121,925000)-250000)*0.05+MAX(0,MIN(A121,1500000)-925000)*0.1+MAX(0,A121-1500000)*0.12))),(MAX(0,MIN(A121,250000)-125000)*0.02+MAX(0,MIN(A121,925000)-250000)*0.05+MAX(0,MIN(A121,1500000)-925000)*0.1+MAX(0,A121-1500000)*0.12)+IF(Inputs!B8="Additional / Investor",0.05*A121,0)+IF(Inputs!B9="Yes",0.02*A121,0))),IF(Inputs!B7="Scotland",((MAX(0,MIN(A121,250000)-145000)*0.02+MAX(0,MIN(A121,325000)-250000)*0.05+MAX(0,MIN(A121,750000)-325000)*0.1+MAX(0,A121-750000)*0.12)-IF(Inputs!B8="First-time buyer",(IF(A121&gt;145000,MIN(600,0.02*(MIN(A121,175000)-145000)),0)),0)+IF(Inputs!B8="Additional / Investor",0.08*A121,0)),IF(Inputs!B7="Wales",(IF(Inputs!B8="Additional / Investor",(MIN(A121,180000)*0.05+MAX(0,MIN(A121,250000)-180000)*0.085+MAX(0,MIN(A121,400000)-250000)*0.1+MAX(0,MIN(A121,750000)-400000)*0.125+MAX(0,MIN(A121,1500000)-750000)*0.15+MAX(0,A121-1500000)*0.17),(MAX(0,MIN(A121,400000)-225000)*0.06+MAX(0,MIN(A121,750000)-400000)*0.075+MAX(0,MIN(A121,1500000)-750000)*0.1+MAX(0,A121-1500000)*0.12))),0)))))+(Inputs!B14+Inputs!B15+Inputs!B16+Inputs!B17)+(Summary!B14)+(Summary!B15)+(((((A121)*Inputs!B20)+(IF(Inputs!B24="Yes",(Summary!B14)*Inputs!B25,0))*Inputs!B26)*Inputs!B21*Inputs!B10/12)+((((A121)*Inputs!B20)+(IF(Inputs!B24="Yes",(Summary!B14)*Inputs!B25,0)))*Inputs!B22)+((((A121)*Inputs!B20)+(IF(Inputs!B24="Yes",(Summary!B14)*Inputs!B25,0)))*Inputs!B23))+(Summary!B17)))</f>
        <v/>
      </c>
      <c r="C121" t="str">
        <f t="shared" si="3"/>
        <v/>
      </c>
    </row>
    <row r="122" spans="1:3" x14ac:dyDescent="0.2">
      <c r="A122" s="16">
        <f>$B$5+(111)*$B$7</f>
        <v>655000</v>
      </c>
      <c r="B122" s="16" t="str">
        <f>IF(A122&gt;$B$6,"",(Inputs!B6)-((A122)+(IF(Inputs!D13&lt;&gt;"",Inputs!D13,IF(Inputs!B7="England &amp; N. Ireland",(IF(Inputs!B8="First-time buyer",(IF(A122&lt;=500000,MAX(0,A122-300000)*0.05,(MAX(0,MIN(A122,250000)-125000)*0.02+MAX(0,MIN(A122,925000)-250000)*0.05+MAX(0,MIN(A122,1500000)-925000)*0.1+MAX(0,A122-1500000)*0.12))),(MAX(0,MIN(A122,250000)-125000)*0.02+MAX(0,MIN(A122,925000)-250000)*0.05+MAX(0,MIN(A122,1500000)-925000)*0.1+MAX(0,A122-1500000)*0.12)+IF(Inputs!B8="Additional / Investor",0.05*A122,0)+IF(Inputs!B9="Yes",0.02*A122,0))),IF(Inputs!B7="Scotland",((MAX(0,MIN(A122,250000)-145000)*0.02+MAX(0,MIN(A122,325000)-250000)*0.05+MAX(0,MIN(A122,750000)-325000)*0.1+MAX(0,A122-750000)*0.12)-IF(Inputs!B8="First-time buyer",(IF(A122&gt;145000,MIN(600,0.02*(MIN(A122,175000)-145000)),0)),0)+IF(Inputs!B8="Additional / Investor",0.08*A122,0)),IF(Inputs!B7="Wales",(IF(Inputs!B8="Additional / Investor",(MIN(A122,180000)*0.05+MAX(0,MIN(A122,250000)-180000)*0.085+MAX(0,MIN(A122,400000)-250000)*0.1+MAX(0,MIN(A122,750000)-400000)*0.125+MAX(0,MIN(A122,1500000)-750000)*0.15+MAX(0,A122-1500000)*0.17),(MAX(0,MIN(A122,400000)-225000)*0.06+MAX(0,MIN(A122,750000)-400000)*0.075+MAX(0,MIN(A122,1500000)-750000)*0.1+MAX(0,A122-1500000)*0.12))),0)))))+(Inputs!B14+Inputs!B15+Inputs!B16+Inputs!B17)+(Summary!B14)+(Summary!B15)+(((((A122)*Inputs!B20)+(IF(Inputs!B24="Yes",(Summary!B14)*Inputs!B25,0))*Inputs!B26)*Inputs!B21*Inputs!B10/12)+((((A122)*Inputs!B20)+(IF(Inputs!B24="Yes",(Summary!B14)*Inputs!B25,0)))*Inputs!B22)+((((A122)*Inputs!B20)+(IF(Inputs!B24="Yes",(Summary!B14)*Inputs!B25,0)))*Inputs!B23))+(Summary!B17)))</f>
        <v/>
      </c>
      <c r="C122" t="str">
        <f t="shared" si="3"/>
        <v/>
      </c>
    </row>
    <row r="123" spans="1:3" x14ac:dyDescent="0.2">
      <c r="A123" s="16">
        <f>$B$5+(112)*$B$7</f>
        <v>660000</v>
      </c>
      <c r="B123" s="16" t="str">
        <f>IF(A123&gt;$B$6,"",(Inputs!B6)-((A123)+(IF(Inputs!D13&lt;&gt;"",Inputs!D13,IF(Inputs!B7="England &amp; N. Ireland",(IF(Inputs!B8="First-time buyer",(IF(A123&lt;=500000,MAX(0,A123-300000)*0.05,(MAX(0,MIN(A123,250000)-125000)*0.02+MAX(0,MIN(A123,925000)-250000)*0.05+MAX(0,MIN(A123,1500000)-925000)*0.1+MAX(0,A123-1500000)*0.12))),(MAX(0,MIN(A123,250000)-125000)*0.02+MAX(0,MIN(A123,925000)-250000)*0.05+MAX(0,MIN(A123,1500000)-925000)*0.1+MAX(0,A123-1500000)*0.12)+IF(Inputs!B8="Additional / Investor",0.05*A123,0)+IF(Inputs!B9="Yes",0.02*A123,0))),IF(Inputs!B7="Scotland",((MAX(0,MIN(A123,250000)-145000)*0.02+MAX(0,MIN(A123,325000)-250000)*0.05+MAX(0,MIN(A123,750000)-325000)*0.1+MAX(0,A123-750000)*0.12)-IF(Inputs!B8="First-time buyer",(IF(A123&gt;145000,MIN(600,0.02*(MIN(A123,175000)-145000)),0)),0)+IF(Inputs!B8="Additional / Investor",0.08*A123,0)),IF(Inputs!B7="Wales",(IF(Inputs!B8="Additional / Investor",(MIN(A123,180000)*0.05+MAX(0,MIN(A123,250000)-180000)*0.085+MAX(0,MIN(A123,400000)-250000)*0.1+MAX(0,MIN(A123,750000)-400000)*0.125+MAX(0,MIN(A123,1500000)-750000)*0.15+MAX(0,A123-1500000)*0.17),(MAX(0,MIN(A123,400000)-225000)*0.06+MAX(0,MIN(A123,750000)-400000)*0.075+MAX(0,MIN(A123,1500000)-750000)*0.1+MAX(0,A123-1500000)*0.12))),0)))))+(Inputs!B14+Inputs!B15+Inputs!B16+Inputs!B17)+(Summary!B14)+(Summary!B15)+(((((A123)*Inputs!B20)+(IF(Inputs!B24="Yes",(Summary!B14)*Inputs!B25,0))*Inputs!B26)*Inputs!B21*Inputs!B10/12)+((((A123)*Inputs!B20)+(IF(Inputs!B24="Yes",(Summary!B14)*Inputs!B25,0)))*Inputs!B22)+((((A123)*Inputs!B20)+(IF(Inputs!B24="Yes",(Summary!B14)*Inputs!B25,0)))*Inputs!B23))+(Summary!B17)))</f>
        <v/>
      </c>
      <c r="C123" t="str">
        <f t="shared" si="3"/>
        <v/>
      </c>
    </row>
    <row r="124" spans="1:3" x14ac:dyDescent="0.2">
      <c r="A124" s="16">
        <f>$B$5+(113)*$B$7</f>
        <v>665000</v>
      </c>
      <c r="B124" s="16" t="str">
        <f>IF(A124&gt;$B$6,"",(Inputs!B6)-((A124)+(IF(Inputs!D13&lt;&gt;"",Inputs!D13,IF(Inputs!B7="England &amp; N. Ireland",(IF(Inputs!B8="First-time buyer",(IF(A124&lt;=500000,MAX(0,A124-300000)*0.05,(MAX(0,MIN(A124,250000)-125000)*0.02+MAX(0,MIN(A124,925000)-250000)*0.05+MAX(0,MIN(A124,1500000)-925000)*0.1+MAX(0,A124-1500000)*0.12))),(MAX(0,MIN(A124,250000)-125000)*0.02+MAX(0,MIN(A124,925000)-250000)*0.05+MAX(0,MIN(A124,1500000)-925000)*0.1+MAX(0,A124-1500000)*0.12)+IF(Inputs!B8="Additional / Investor",0.05*A124,0)+IF(Inputs!B9="Yes",0.02*A124,0))),IF(Inputs!B7="Scotland",((MAX(0,MIN(A124,250000)-145000)*0.02+MAX(0,MIN(A124,325000)-250000)*0.05+MAX(0,MIN(A124,750000)-325000)*0.1+MAX(0,A124-750000)*0.12)-IF(Inputs!B8="First-time buyer",(IF(A124&gt;145000,MIN(600,0.02*(MIN(A124,175000)-145000)),0)),0)+IF(Inputs!B8="Additional / Investor",0.08*A124,0)),IF(Inputs!B7="Wales",(IF(Inputs!B8="Additional / Investor",(MIN(A124,180000)*0.05+MAX(0,MIN(A124,250000)-180000)*0.085+MAX(0,MIN(A124,400000)-250000)*0.1+MAX(0,MIN(A124,750000)-400000)*0.125+MAX(0,MIN(A124,1500000)-750000)*0.15+MAX(0,A124-1500000)*0.17),(MAX(0,MIN(A124,400000)-225000)*0.06+MAX(0,MIN(A124,750000)-400000)*0.075+MAX(0,MIN(A124,1500000)-750000)*0.1+MAX(0,A124-1500000)*0.12))),0)))))+(Inputs!B14+Inputs!B15+Inputs!B16+Inputs!B17)+(Summary!B14)+(Summary!B15)+(((((A124)*Inputs!B20)+(IF(Inputs!B24="Yes",(Summary!B14)*Inputs!B25,0))*Inputs!B26)*Inputs!B21*Inputs!B10/12)+((((A124)*Inputs!B20)+(IF(Inputs!B24="Yes",(Summary!B14)*Inputs!B25,0)))*Inputs!B22)+((((A124)*Inputs!B20)+(IF(Inputs!B24="Yes",(Summary!B14)*Inputs!B25,0)))*Inputs!B23))+(Summary!B17)))</f>
        <v/>
      </c>
      <c r="C124" t="str">
        <f t="shared" si="3"/>
        <v/>
      </c>
    </row>
    <row r="125" spans="1:3" x14ac:dyDescent="0.2">
      <c r="A125" s="16">
        <f>$B$5+(114)*$B$7</f>
        <v>670000</v>
      </c>
      <c r="B125" s="16" t="str">
        <f>IF(A125&gt;$B$6,"",(Inputs!B6)-((A125)+(IF(Inputs!D13&lt;&gt;"",Inputs!D13,IF(Inputs!B7="England &amp; N. Ireland",(IF(Inputs!B8="First-time buyer",(IF(A125&lt;=500000,MAX(0,A125-300000)*0.05,(MAX(0,MIN(A125,250000)-125000)*0.02+MAX(0,MIN(A125,925000)-250000)*0.05+MAX(0,MIN(A125,1500000)-925000)*0.1+MAX(0,A125-1500000)*0.12))),(MAX(0,MIN(A125,250000)-125000)*0.02+MAX(0,MIN(A125,925000)-250000)*0.05+MAX(0,MIN(A125,1500000)-925000)*0.1+MAX(0,A125-1500000)*0.12)+IF(Inputs!B8="Additional / Investor",0.05*A125,0)+IF(Inputs!B9="Yes",0.02*A125,0))),IF(Inputs!B7="Scotland",((MAX(0,MIN(A125,250000)-145000)*0.02+MAX(0,MIN(A125,325000)-250000)*0.05+MAX(0,MIN(A125,750000)-325000)*0.1+MAX(0,A125-750000)*0.12)-IF(Inputs!B8="First-time buyer",(IF(A125&gt;145000,MIN(600,0.02*(MIN(A125,175000)-145000)),0)),0)+IF(Inputs!B8="Additional / Investor",0.08*A125,0)),IF(Inputs!B7="Wales",(IF(Inputs!B8="Additional / Investor",(MIN(A125,180000)*0.05+MAX(0,MIN(A125,250000)-180000)*0.085+MAX(0,MIN(A125,400000)-250000)*0.1+MAX(0,MIN(A125,750000)-400000)*0.125+MAX(0,MIN(A125,1500000)-750000)*0.15+MAX(0,A125-1500000)*0.17),(MAX(0,MIN(A125,400000)-225000)*0.06+MAX(0,MIN(A125,750000)-400000)*0.075+MAX(0,MIN(A125,1500000)-750000)*0.1+MAX(0,A125-1500000)*0.12))),0)))))+(Inputs!B14+Inputs!B15+Inputs!B16+Inputs!B17)+(Summary!B14)+(Summary!B15)+(((((A125)*Inputs!B20)+(IF(Inputs!B24="Yes",(Summary!B14)*Inputs!B25,0))*Inputs!B26)*Inputs!B21*Inputs!B10/12)+((((A125)*Inputs!B20)+(IF(Inputs!B24="Yes",(Summary!B14)*Inputs!B25,0)))*Inputs!B22)+((((A125)*Inputs!B20)+(IF(Inputs!B24="Yes",(Summary!B14)*Inputs!B25,0)))*Inputs!B23))+(Summary!B17)))</f>
        <v/>
      </c>
      <c r="C125" t="str">
        <f t="shared" si="3"/>
        <v/>
      </c>
    </row>
    <row r="126" spans="1:3" x14ac:dyDescent="0.2">
      <c r="A126" s="16">
        <f>$B$5+(115)*$B$7</f>
        <v>675000</v>
      </c>
      <c r="B126" s="16" t="str">
        <f>IF(A126&gt;$B$6,"",(Inputs!B6)-((A126)+(IF(Inputs!D13&lt;&gt;"",Inputs!D13,IF(Inputs!B7="England &amp; N. Ireland",(IF(Inputs!B8="First-time buyer",(IF(A126&lt;=500000,MAX(0,A126-300000)*0.05,(MAX(0,MIN(A126,250000)-125000)*0.02+MAX(0,MIN(A126,925000)-250000)*0.05+MAX(0,MIN(A126,1500000)-925000)*0.1+MAX(0,A126-1500000)*0.12))),(MAX(0,MIN(A126,250000)-125000)*0.02+MAX(0,MIN(A126,925000)-250000)*0.05+MAX(0,MIN(A126,1500000)-925000)*0.1+MAX(0,A126-1500000)*0.12)+IF(Inputs!B8="Additional / Investor",0.05*A126,0)+IF(Inputs!B9="Yes",0.02*A126,0))),IF(Inputs!B7="Scotland",((MAX(0,MIN(A126,250000)-145000)*0.02+MAX(0,MIN(A126,325000)-250000)*0.05+MAX(0,MIN(A126,750000)-325000)*0.1+MAX(0,A126-750000)*0.12)-IF(Inputs!B8="First-time buyer",(IF(A126&gt;145000,MIN(600,0.02*(MIN(A126,175000)-145000)),0)),0)+IF(Inputs!B8="Additional / Investor",0.08*A126,0)),IF(Inputs!B7="Wales",(IF(Inputs!B8="Additional / Investor",(MIN(A126,180000)*0.05+MAX(0,MIN(A126,250000)-180000)*0.085+MAX(0,MIN(A126,400000)-250000)*0.1+MAX(0,MIN(A126,750000)-400000)*0.125+MAX(0,MIN(A126,1500000)-750000)*0.15+MAX(0,A126-1500000)*0.17),(MAX(0,MIN(A126,400000)-225000)*0.06+MAX(0,MIN(A126,750000)-400000)*0.075+MAX(0,MIN(A126,1500000)-750000)*0.1+MAX(0,A126-1500000)*0.12))),0)))))+(Inputs!B14+Inputs!B15+Inputs!B16+Inputs!B17)+(Summary!B14)+(Summary!B15)+(((((A126)*Inputs!B20)+(IF(Inputs!B24="Yes",(Summary!B14)*Inputs!B25,0))*Inputs!B26)*Inputs!B21*Inputs!B10/12)+((((A126)*Inputs!B20)+(IF(Inputs!B24="Yes",(Summary!B14)*Inputs!B25,0)))*Inputs!B22)+((((A126)*Inputs!B20)+(IF(Inputs!B24="Yes",(Summary!B14)*Inputs!B25,0)))*Inputs!B23))+(Summary!B17)))</f>
        <v/>
      </c>
      <c r="C126" t="str">
        <f t="shared" si="3"/>
        <v/>
      </c>
    </row>
    <row r="127" spans="1:3" x14ac:dyDescent="0.2">
      <c r="A127" s="16">
        <f>$B$5+(116)*$B$7</f>
        <v>680000</v>
      </c>
      <c r="B127" s="16" t="str">
        <f>IF(A127&gt;$B$6,"",(Inputs!B6)-((A127)+(IF(Inputs!D13&lt;&gt;"",Inputs!D13,IF(Inputs!B7="England &amp; N. Ireland",(IF(Inputs!B8="First-time buyer",(IF(A127&lt;=500000,MAX(0,A127-300000)*0.05,(MAX(0,MIN(A127,250000)-125000)*0.02+MAX(0,MIN(A127,925000)-250000)*0.05+MAX(0,MIN(A127,1500000)-925000)*0.1+MAX(0,A127-1500000)*0.12))),(MAX(0,MIN(A127,250000)-125000)*0.02+MAX(0,MIN(A127,925000)-250000)*0.05+MAX(0,MIN(A127,1500000)-925000)*0.1+MAX(0,A127-1500000)*0.12)+IF(Inputs!B8="Additional / Investor",0.05*A127,0)+IF(Inputs!B9="Yes",0.02*A127,0))),IF(Inputs!B7="Scotland",((MAX(0,MIN(A127,250000)-145000)*0.02+MAX(0,MIN(A127,325000)-250000)*0.05+MAX(0,MIN(A127,750000)-325000)*0.1+MAX(0,A127-750000)*0.12)-IF(Inputs!B8="First-time buyer",(IF(A127&gt;145000,MIN(600,0.02*(MIN(A127,175000)-145000)),0)),0)+IF(Inputs!B8="Additional / Investor",0.08*A127,0)),IF(Inputs!B7="Wales",(IF(Inputs!B8="Additional / Investor",(MIN(A127,180000)*0.05+MAX(0,MIN(A127,250000)-180000)*0.085+MAX(0,MIN(A127,400000)-250000)*0.1+MAX(0,MIN(A127,750000)-400000)*0.125+MAX(0,MIN(A127,1500000)-750000)*0.15+MAX(0,A127-1500000)*0.17),(MAX(0,MIN(A127,400000)-225000)*0.06+MAX(0,MIN(A127,750000)-400000)*0.075+MAX(0,MIN(A127,1500000)-750000)*0.1+MAX(0,A127-1500000)*0.12))),0)))))+(Inputs!B14+Inputs!B15+Inputs!B16+Inputs!B17)+(Summary!B14)+(Summary!B15)+(((((A127)*Inputs!B20)+(IF(Inputs!B24="Yes",(Summary!B14)*Inputs!B25,0))*Inputs!B26)*Inputs!B21*Inputs!B10/12)+((((A127)*Inputs!B20)+(IF(Inputs!B24="Yes",(Summary!B14)*Inputs!B25,0)))*Inputs!B22)+((((A127)*Inputs!B20)+(IF(Inputs!B24="Yes",(Summary!B14)*Inputs!B25,0)))*Inputs!B23))+(Summary!B17)))</f>
        <v/>
      </c>
      <c r="C127" t="str">
        <f t="shared" si="3"/>
        <v/>
      </c>
    </row>
    <row r="128" spans="1:3" x14ac:dyDescent="0.2">
      <c r="A128" s="16">
        <f>$B$5+(117)*$B$7</f>
        <v>685000</v>
      </c>
      <c r="B128" s="16" t="str">
        <f>IF(A128&gt;$B$6,"",(Inputs!B6)-((A128)+(IF(Inputs!D13&lt;&gt;"",Inputs!D13,IF(Inputs!B7="England &amp; N. Ireland",(IF(Inputs!B8="First-time buyer",(IF(A128&lt;=500000,MAX(0,A128-300000)*0.05,(MAX(0,MIN(A128,250000)-125000)*0.02+MAX(0,MIN(A128,925000)-250000)*0.05+MAX(0,MIN(A128,1500000)-925000)*0.1+MAX(0,A128-1500000)*0.12))),(MAX(0,MIN(A128,250000)-125000)*0.02+MAX(0,MIN(A128,925000)-250000)*0.05+MAX(0,MIN(A128,1500000)-925000)*0.1+MAX(0,A128-1500000)*0.12)+IF(Inputs!B8="Additional / Investor",0.05*A128,0)+IF(Inputs!B9="Yes",0.02*A128,0))),IF(Inputs!B7="Scotland",((MAX(0,MIN(A128,250000)-145000)*0.02+MAX(0,MIN(A128,325000)-250000)*0.05+MAX(0,MIN(A128,750000)-325000)*0.1+MAX(0,A128-750000)*0.12)-IF(Inputs!B8="First-time buyer",(IF(A128&gt;145000,MIN(600,0.02*(MIN(A128,175000)-145000)),0)),0)+IF(Inputs!B8="Additional / Investor",0.08*A128,0)),IF(Inputs!B7="Wales",(IF(Inputs!B8="Additional / Investor",(MIN(A128,180000)*0.05+MAX(0,MIN(A128,250000)-180000)*0.085+MAX(0,MIN(A128,400000)-250000)*0.1+MAX(0,MIN(A128,750000)-400000)*0.125+MAX(0,MIN(A128,1500000)-750000)*0.15+MAX(0,A128-1500000)*0.17),(MAX(0,MIN(A128,400000)-225000)*0.06+MAX(0,MIN(A128,750000)-400000)*0.075+MAX(0,MIN(A128,1500000)-750000)*0.1+MAX(0,A128-1500000)*0.12))),0)))))+(Inputs!B14+Inputs!B15+Inputs!B16+Inputs!B17)+(Summary!B14)+(Summary!B15)+(((((A128)*Inputs!B20)+(IF(Inputs!B24="Yes",(Summary!B14)*Inputs!B25,0))*Inputs!B26)*Inputs!B21*Inputs!B10/12)+((((A128)*Inputs!B20)+(IF(Inputs!B24="Yes",(Summary!B14)*Inputs!B25,0)))*Inputs!B22)+((((A128)*Inputs!B20)+(IF(Inputs!B24="Yes",(Summary!B14)*Inputs!B25,0)))*Inputs!B23))+(Summary!B17)))</f>
        <v/>
      </c>
      <c r="C128" t="str">
        <f t="shared" si="3"/>
        <v/>
      </c>
    </row>
    <row r="129" spans="1:3" x14ac:dyDescent="0.2">
      <c r="A129" s="16">
        <f>$B$5+(118)*$B$7</f>
        <v>690000</v>
      </c>
      <c r="B129" s="16" t="str">
        <f>IF(A129&gt;$B$6,"",(Inputs!B6)-((A129)+(IF(Inputs!D13&lt;&gt;"",Inputs!D13,IF(Inputs!B7="England &amp; N. Ireland",(IF(Inputs!B8="First-time buyer",(IF(A129&lt;=500000,MAX(0,A129-300000)*0.05,(MAX(0,MIN(A129,250000)-125000)*0.02+MAX(0,MIN(A129,925000)-250000)*0.05+MAX(0,MIN(A129,1500000)-925000)*0.1+MAX(0,A129-1500000)*0.12))),(MAX(0,MIN(A129,250000)-125000)*0.02+MAX(0,MIN(A129,925000)-250000)*0.05+MAX(0,MIN(A129,1500000)-925000)*0.1+MAX(0,A129-1500000)*0.12)+IF(Inputs!B8="Additional / Investor",0.05*A129,0)+IF(Inputs!B9="Yes",0.02*A129,0))),IF(Inputs!B7="Scotland",((MAX(0,MIN(A129,250000)-145000)*0.02+MAX(0,MIN(A129,325000)-250000)*0.05+MAX(0,MIN(A129,750000)-325000)*0.1+MAX(0,A129-750000)*0.12)-IF(Inputs!B8="First-time buyer",(IF(A129&gt;145000,MIN(600,0.02*(MIN(A129,175000)-145000)),0)),0)+IF(Inputs!B8="Additional / Investor",0.08*A129,0)),IF(Inputs!B7="Wales",(IF(Inputs!B8="Additional / Investor",(MIN(A129,180000)*0.05+MAX(0,MIN(A129,250000)-180000)*0.085+MAX(0,MIN(A129,400000)-250000)*0.1+MAX(0,MIN(A129,750000)-400000)*0.125+MAX(0,MIN(A129,1500000)-750000)*0.15+MAX(0,A129-1500000)*0.17),(MAX(0,MIN(A129,400000)-225000)*0.06+MAX(0,MIN(A129,750000)-400000)*0.075+MAX(0,MIN(A129,1500000)-750000)*0.1+MAX(0,A129-1500000)*0.12))),0)))))+(Inputs!B14+Inputs!B15+Inputs!B16+Inputs!B17)+(Summary!B14)+(Summary!B15)+(((((A129)*Inputs!B20)+(IF(Inputs!B24="Yes",(Summary!B14)*Inputs!B25,0))*Inputs!B26)*Inputs!B21*Inputs!B10/12)+((((A129)*Inputs!B20)+(IF(Inputs!B24="Yes",(Summary!B14)*Inputs!B25,0)))*Inputs!B22)+((((A129)*Inputs!B20)+(IF(Inputs!B24="Yes",(Summary!B14)*Inputs!B25,0)))*Inputs!B23))+(Summary!B17)))</f>
        <v/>
      </c>
      <c r="C129" t="str">
        <f t="shared" si="3"/>
        <v/>
      </c>
    </row>
    <row r="130" spans="1:3" x14ac:dyDescent="0.2">
      <c r="A130" s="16">
        <f>$B$5+(119)*$B$7</f>
        <v>695000</v>
      </c>
      <c r="B130" s="16" t="str">
        <f>IF(A130&gt;$B$6,"",(Inputs!B6)-((A130)+(IF(Inputs!D13&lt;&gt;"",Inputs!D13,IF(Inputs!B7="England &amp; N. Ireland",(IF(Inputs!B8="First-time buyer",(IF(A130&lt;=500000,MAX(0,A130-300000)*0.05,(MAX(0,MIN(A130,250000)-125000)*0.02+MAX(0,MIN(A130,925000)-250000)*0.05+MAX(0,MIN(A130,1500000)-925000)*0.1+MAX(0,A130-1500000)*0.12))),(MAX(0,MIN(A130,250000)-125000)*0.02+MAX(0,MIN(A130,925000)-250000)*0.05+MAX(0,MIN(A130,1500000)-925000)*0.1+MAX(0,A130-1500000)*0.12)+IF(Inputs!B8="Additional / Investor",0.05*A130,0)+IF(Inputs!B9="Yes",0.02*A130,0))),IF(Inputs!B7="Scotland",((MAX(0,MIN(A130,250000)-145000)*0.02+MAX(0,MIN(A130,325000)-250000)*0.05+MAX(0,MIN(A130,750000)-325000)*0.1+MAX(0,A130-750000)*0.12)-IF(Inputs!B8="First-time buyer",(IF(A130&gt;145000,MIN(600,0.02*(MIN(A130,175000)-145000)),0)),0)+IF(Inputs!B8="Additional / Investor",0.08*A130,0)),IF(Inputs!B7="Wales",(IF(Inputs!B8="Additional / Investor",(MIN(A130,180000)*0.05+MAX(0,MIN(A130,250000)-180000)*0.085+MAX(0,MIN(A130,400000)-250000)*0.1+MAX(0,MIN(A130,750000)-400000)*0.125+MAX(0,MIN(A130,1500000)-750000)*0.15+MAX(0,A130-1500000)*0.17),(MAX(0,MIN(A130,400000)-225000)*0.06+MAX(0,MIN(A130,750000)-400000)*0.075+MAX(0,MIN(A130,1500000)-750000)*0.1+MAX(0,A130-1500000)*0.12))),0)))))+(Inputs!B14+Inputs!B15+Inputs!B16+Inputs!B17)+(Summary!B14)+(Summary!B15)+(((((A130)*Inputs!B20)+(IF(Inputs!B24="Yes",(Summary!B14)*Inputs!B25,0))*Inputs!B26)*Inputs!B21*Inputs!B10/12)+((((A130)*Inputs!B20)+(IF(Inputs!B24="Yes",(Summary!B14)*Inputs!B25,0)))*Inputs!B22)+((((A130)*Inputs!B20)+(IF(Inputs!B24="Yes",(Summary!B14)*Inputs!B25,0)))*Inputs!B23))+(Summary!B17)))</f>
        <v/>
      </c>
      <c r="C130" t="str">
        <f t="shared" si="3"/>
        <v/>
      </c>
    </row>
    <row r="131" spans="1:3" x14ac:dyDescent="0.2">
      <c r="A131" s="16">
        <f>$B$5+(120)*$B$7</f>
        <v>700000</v>
      </c>
      <c r="B131" s="16" t="str">
        <f>IF(A131&gt;$B$6,"",(Inputs!B6)-((A131)+(IF(Inputs!D13&lt;&gt;"",Inputs!D13,IF(Inputs!B7="England &amp; N. Ireland",(IF(Inputs!B8="First-time buyer",(IF(A131&lt;=500000,MAX(0,A131-300000)*0.05,(MAX(0,MIN(A131,250000)-125000)*0.02+MAX(0,MIN(A131,925000)-250000)*0.05+MAX(0,MIN(A131,1500000)-925000)*0.1+MAX(0,A131-1500000)*0.12))),(MAX(0,MIN(A131,250000)-125000)*0.02+MAX(0,MIN(A131,925000)-250000)*0.05+MAX(0,MIN(A131,1500000)-925000)*0.1+MAX(0,A131-1500000)*0.12)+IF(Inputs!B8="Additional / Investor",0.05*A131,0)+IF(Inputs!B9="Yes",0.02*A131,0))),IF(Inputs!B7="Scotland",((MAX(0,MIN(A131,250000)-145000)*0.02+MAX(0,MIN(A131,325000)-250000)*0.05+MAX(0,MIN(A131,750000)-325000)*0.1+MAX(0,A131-750000)*0.12)-IF(Inputs!B8="First-time buyer",(IF(A131&gt;145000,MIN(600,0.02*(MIN(A131,175000)-145000)),0)),0)+IF(Inputs!B8="Additional / Investor",0.08*A131,0)),IF(Inputs!B7="Wales",(IF(Inputs!B8="Additional / Investor",(MIN(A131,180000)*0.05+MAX(0,MIN(A131,250000)-180000)*0.085+MAX(0,MIN(A131,400000)-250000)*0.1+MAX(0,MIN(A131,750000)-400000)*0.125+MAX(0,MIN(A131,1500000)-750000)*0.15+MAX(0,A131-1500000)*0.17),(MAX(0,MIN(A131,400000)-225000)*0.06+MAX(0,MIN(A131,750000)-400000)*0.075+MAX(0,MIN(A131,1500000)-750000)*0.1+MAX(0,A131-1500000)*0.12))),0)))))+(Inputs!B14+Inputs!B15+Inputs!B16+Inputs!B17)+(Summary!B14)+(Summary!B15)+(((((A131)*Inputs!B20)+(IF(Inputs!B24="Yes",(Summary!B14)*Inputs!B25,0))*Inputs!B26)*Inputs!B21*Inputs!B10/12)+((((A131)*Inputs!B20)+(IF(Inputs!B24="Yes",(Summary!B14)*Inputs!B25,0)))*Inputs!B22)+((((A131)*Inputs!B20)+(IF(Inputs!B24="Yes",(Summary!B14)*Inputs!B25,0)))*Inputs!B23))+(Summary!B17)))</f>
        <v/>
      </c>
      <c r="C131" t="str">
        <f t="shared" si="3"/>
        <v/>
      </c>
    </row>
    <row r="132" spans="1:3" x14ac:dyDescent="0.2">
      <c r="A132" s="16">
        <f>$B$5+(121)*$B$7</f>
        <v>705000</v>
      </c>
      <c r="B132" s="16" t="str">
        <f>IF(A132&gt;$B$6,"",(Inputs!B6)-((A132)+(IF(Inputs!D13&lt;&gt;"",Inputs!D13,IF(Inputs!B7="England &amp; N. Ireland",(IF(Inputs!B8="First-time buyer",(IF(A132&lt;=500000,MAX(0,A132-300000)*0.05,(MAX(0,MIN(A132,250000)-125000)*0.02+MAX(0,MIN(A132,925000)-250000)*0.05+MAX(0,MIN(A132,1500000)-925000)*0.1+MAX(0,A132-1500000)*0.12))),(MAX(0,MIN(A132,250000)-125000)*0.02+MAX(0,MIN(A132,925000)-250000)*0.05+MAX(0,MIN(A132,1500000)-925000)*0.1+MAX(0,A132-1500000)*0.12)+IF(Inputs!B8="Additional / Investor",0.05*A132,0)+IF(Inputs!B9="Yes",0.02*A132,0))),IF(Inputs!B7="Scotland",((MAX(0,MIN(A132,250000)-145000)*0.02+MAX(0,MIN(A132,325000)-250000)*0.05+MAX(0,MIN(A132,750000)-325000)*0.1+MAX(0,A132-750000)*0.12)-IF(Inputs!B8="First-time buyer",(IF(A132&gt;145000,MIN(600,0.02*(MIN(A132,175000)-145000)),0)),0)+IF(Inputs!B8="Additional / Investor",0.08*A132,0)),IF(Inputs!B7="Wales",(IF(Inputs!B8="Additional / Investor",(MIN(A132,180000)*0.05+MAX(0,MIN(A132,250000)-180000)*0.085+MAX(0,MIN(A132,400000)-250000)*0.1+MAX(0,MIN(A132,750000)-400000)*0.125+MAX(0,MIN(A132,1500000)-750000)*0.15+MAX(0,A132-1500000)*0.17),(MAX(0,MIN(A132,400000)-225000)*0.06+MAX(0,MIN(A132,750000)-400000)*0.075+MAX(0,MIN(A132,1500000)-750000)*0.1+MAX(0,A132-1500000)*0.12))),0)))))+(Inputs!B14+Inputs!B15+Inputs!B16+Inputs!B17)+(Summary!B14)+(Summary!B15)+(((((A132)*Inputs!B20)+(IF(Inputs!B24="Yes",(Summary!B14)*Inputs!B25,0))*Inputs!B26)*Inputs!B21*Inputs!B10/12)+((((A132)*Inputs!B20)+(IF(Inputs!B24="Yes",(Summary!B14)*Inputs!B25,0)))*Inputs!B22)+((((A132)*Inputs!B20)+(IF(Inputs!B24="Yes",(Summary!B14)*Inputs!B25,0)))*Inputs!B23))+(Summary!B17)))</f>
        <v/>
      </c>
      <c r="C132" t="str">
        <f t="shared" si="3"/>
        <v/>
      </c>
    </row>
    <row r="133" spans="1:3" x14ac:dyDescent="0.2">
      <c r="A133" s="16">
        <f>$B$5+(122)*$B$7</f>
        <v>710000</v>
      </c>
      <c r="B133" s="16" t="str">
        <f>IF(A133&gt;$B$6,"",(Inputs!B6)-((A133)+(IF(Inputs!D13&lt;&gt;"",Inputs!D13,IF(Inputs!B7="England &amp; N. Ireland",(IF(Inputs!B8="First-time buyer",(IF(A133&lt;=500000,MAX(0,A133-300000)*0.05,(MAX(0,MIN(A133,250000)-125000)*0.02+MAX(0,MIN(A133,925000)-250000)*0.05+MAX(0,MIN(A133,1500000)-925000)*0.1+MAX(0,A133-1500000)*0.12))),(MAX(0,MIN(A133,250000)-125000)*0.02+MAX(0,MIN(A133,925000)-250000)*0.05+MAX(0,MIN(A133,1500000)-925000)*0.1+MAX(0,A133-1500000)*0.12)+IF(Inputs!B8="Additional / Investor",0.05*A133,0)+IF(Inputs!B9="Yes",0.02*A133,0))),IF(Inputs!B7="Scotland",((MAX(0,MIN(A133,250000)-145000)*0.02+MAX(0,MIN(A133,325000)-250000)*0.05+MAX(0,MIN(A133,750000)-325000)*0.1+MAX(0,A133-750000)*0.12)-IF(Inputs!B8="First-time buyer",(IF(A133&gt;145000,MIN(600,0.02*(MIN(A133,175000)-145000)),0)),0)+IF(Inputs!B8="Additional / Investor",0.08*A133,0)),IF(Inputs!B7="Wales",(IF(Inputs!B8="Additional / Investor",(MIN(A133,180000)*0.05+MAX(0,MIN(A133,250000)-180000)*0.085+MAX(0,MIN(A133,400000)-250000)*0.1+MAX(0,MIN(A133,750000)-400000)*0.125+MAX(0,MIN(A133,1500000)-750000)*0.15+MAX(0,A133-1500000)*0.17),(MAX(0,MIN(A133,400000)-225000)*0.06+MAX(0,MIN(A133,750000)-400000)*0.075+MAX(0,MIN(A133,1500000)-750000)*0.1+MAX(0,A133-1500000)*0.12))),0)))))+(Inputs!B14+Inputs!B15+Inputs!B16+Inputs!B17)+(Summary!B14)+(Summary!B15)+(((((A133)*Inputs!B20)+(IF(Inputs!B24="Yes",(Summary!B14)*Inputs!B25,0))*Inputs!B26)*Inputs!B21*Inputs!B10/12)+((((A133)*Inputs!B20)+(IF(Inputs!B24="Yes",(Summary!B14)*Inputs!B25,0)))*Inputs!B22)+((((A133)*Inputs!B20)+(IF(Inputs!B24="Yes",(Summary!B14)*Inputs!B25,0)))*Inputs!B23))+(Summary!B17)))</f>
        <v/>
      </c>
      <c r="C133" t="str">
        <f t="shared" si="3"/>
        <v/>
      </c>
    </row>
    <row r="134" spans="1:3" x14ac:dyDescent="0.2">
      <c r="A134" s="16">
        <f>$B$5+(123)*$B$7</f>
        <v>715000</v>
      </c>
      <c r="B134" s="16" t="str">
        <f>IF(A134&gt;$B$6,"",(Inputs!B6)-((A134)+(IF(Inputs!D13&lt;&gt;"",Inputs!D13,IF(Inputs!B7="England &amp; N. Ireland",(IF(Inputs!B8="First-time buyer",(IF(A134&lt;=500000,MAX(0,A134-300000)*0.05,(MAX(0,MIN(A134,250000)-125000)*0.02+MAX(0,MIN(A134,925000)-250000)*0.05+MAX(0,MIN(A134,1500000)-925000)*0.1+MAX(0,A134-1500000)*0.12))),(MAX(0,MIN(A134,250000)-125000)*0.02+MAX(0,MIN(A134,925000)-250000)*0.05+MAX(0,MIN(A134,1500000)-925000)*0.1+MAX(0,A134-1500000)*0.12)+IF(Inputs!B8="Additional / Investor",0.05*A134,0)+IF(Inputs!B9="Yes",0.02*A134,0))),IF(Inputs!B7="Scotland",((MAX(0,MIN(A134,250000)-145000)*0.02+MAX(0,MIN(A134,325000)-250000)*0.05+MAX(0,MIN(A134,750000)-325000)*0.1+MAX(0,A134-750000)*0.12)-IF(Inputs!B8="First-time buyer",(IF(A134&gt;145000,MIN(600,0.02*(MIN(A134,175000)-145000)),0)),0)+IF(Inputs!B8="Additional / Investor",0.08*A134,0)),IF(Inputs!B7="Wales",(IF(Inputs!B8="Additional / Investor",(MIN(A134,180000)*0.05+MAX(0,MIN(A134,250000)-180000)*0.085+MAX(0,MIN(A134,400000)-250000)*0.1+MAX(0,MIN(A134,750000)-400000)*0.125+MAX(0,MIN(A134,1500000)-750000)*0.15+MAX(0,A134-1500000)*0.17),(MAX(0,MIN(A134,400000)-225000)*0.06+MAX(0,MIN(A134,750000)-400000)*0.075+MAX(0,MIN(A134,1500000)-750000)*0.1+MAX(0,A134-1500000)*0.12))),0)))))+(Inputs!B14+Inputs!B15+Inputs!B16+Inputs!B17)+(Summary!B14)+(Summary!B15)+(((((A134)*Inputs!B20)+(IF(Inputs!B24="Yes",(Summary!B14)*Inputs!B25,0))*Inputs!B26)*Inputs!B21*Inputs!B10/12)+((((A134)*Inputs!B20)+(IF(Inputs!B24="Yes",(Summary!B14)*Inputs!B25,0)))*Inputs!B22)+((((A134)*Inputs!B20)+(IF(Inputs!B24="Yes",(Summary!B14)*Inputs!B25,0)))*Inputs!B23))+(Summary!B17)))</f>
        <v/>
      </c>
      <c r="C134" t="str">
        <f t="shared" si="3"/>
        <v/>
      </c>
    </row>
    <row r="135" spans="1:3" x14ac:dyDescent="0.2">
      <c r="A135" s="16">
        <f>$B$5+(124)*$B$7</f>
        <v>720000</v>
      </c>
      <c r="B135" s="16" t="str">
        <f>IF(A135&gt;$B$6,"",(Inputs!B6)-((A135)+(IF(Inputs!D13&lt;&gt;"",Inputs!D13,IF(Inputs!B7="England &amp; N. Ireland",(IF(Inputs!B8="First-time buyer",(IF(A135&lt;=500000,MAX(0,A135-300000)*0.05,(MAX(0,MIN(A135,250000)-125000)*0.02+MAX(0,MIN(A135,925000)-250000)*0.05+MAX(0,MIN(A135,1500000)-925000)*0.1+MAX(0,A135-1500000)*0.12))),(MAX(0,MIN(A135,250000)-125000)*0.02+MAX(0,MIN(A135,925000)-250000)*0.05+MAX(0,MIN(A135,1500000)-925000)*0.1+MAX(0,A135-1500000)*0.12)+IF(Inputs!B8="Additional / Investor",0.05*A135,0)+IF(Inputs!B9="Yes",0.02*A135,0))),IF(Inputs!B7="Scotland",((MAX(0,MIN(A135,250000)-145000)*0.02+MAX(0,MIN(A135,325000)-250000)*0.05+MAX(0,MIN(A135,750000)-325000)*0.1+MAX(0,A135-750000)*0.12)-IF(Inputs!B8="First-time buyer",(IF(A135&gt;145000,MIN(600,0.02*(MIN(A135,175000)-145000)),0)),0)+IF(Inputs!B8="Additional / Investor",0.08*A135,0)),IF(Inputs!B7="Wales",(IF(Inputs!B8="Additional / Investor",(MIN(A135,180000)*0.05+MAX(0,MIN(A135,250000)-180000)*0.085+MAX(0,MIN(A135,400000)-250000)*0.1+MAX(0,MIN(A135,750000)-400000)*0.125+MAX(0,MIN(A135,1500000)-750000)*0.15+MAX(0,A135-1500000)*0.17),(MAX(0,MIN(A135,400000)-225000)*0.06+MAX(0,MIN(A135,750000)-400000)*0.075+MAX(0,MIN(A135,1500000)-750000)*0.1+MAX(0,A135-1500000)*0.12))),0)))))+(Inputs!B14+Inputs!B15+Inputs!B16+Inputs!B17)+(Summary!B14)+(Summary!B15)+(((((A135)*Inputs!B20)+(IF(Inputs!B24="Yes",(Summary!B14)*Inputs!B25,0))*Inputs!B26)*Inputs!B21*Inputs!B10/12)+((((A135)*Inputs!B20)+(IF(Inputs!B24="Yes",(Summary!B14)*Inputs!B25,0)))*Inputs!B22)+((((A135)*Inputs!B20)+(IF(Inputs!B24="Yes",(Summary!B14)*Inputs!B25,0)))*Inputs!B23))+(Summary!B17)))</f>
        <v/>
      </c>
      <c r="C135" t="str">
        <f t="shared" si="3"/>
        <v/>
      </c>
    </row>
    <row r="136" spans="1:3" x14ac:dyDescent="0.2">
      <c r="A136" s="16">
        <f>$B$5+(125)*$B$7</f>
        <v>725000</v>
      </c>
      <c r="B136" s="16" t="str">
        <f>IF(A136&gt;$B$6,"",(Inputs!B6)-((A136)+(IF(Inputs!D13&lt;&gt;"",Inputs!D13,IF(Inputs!B7="England &amp; N. Ireland",(IF(Inputs!B8="First-time buyer",(IF(A136&lt;=500000,MAX(0,A136-300000)*0.05,(MAX(0,MIN(A136,250000)-125000)*0.02+MAX(0,MIN(A136,925000)-250000)*0.05+MAX(0,MIN(A136,1500000)-925000)*0.1+MAX(0,A136-1500000)*0.12))),(MAX(0,MIN(A136,250000)-125000)*0.02+MAX(0,MIN(A136,925000)-250000)*0.05+MAX(0,MIN(A136,1500000)-925000)*0.1+MAX(0,A136-1500000)*0.12)+IF(Inputs!B8="Additional / Investor",0.05*A136,0)+IF(Inputs!B9="Yes",0.02*A136,0))),IF(Inputs!B7="Scotland",((MAX(0,MIN(A136,250000)-145000)*0.02+MAX(0,MIN(A136,325000)-250000)*0.05+MAX(0,MIN(A136,750000)-325000)*0.1+MAX(0,A136-750000)*0.12)-IF(Inputs!B8="First-time buyer",(IF(A136&gt;145000,MIN(600,0.02*(MIN(A136,175000)-145000)),0)),0)+IF(Inputs!B8="Additional / Investor",0.08*A136,0)),IF(Inputs!B7="Wales",(IF(Inputs!B8="Additional / Investor",(MIN(A136,180000)*0.05+MAX(0,MIN(A136,250000)-180000)*0.085+MAX(0,MIN(A136,400000)-250000)*0.1+MAX(0,MIN(A136,750000)-400000)*0.125+MAX(0,MIN(A136,1500000)-750000)*0.15+MAX(0,A136-1500000)*0.17),(MAX(0,MIN(A136,400000)-225000)*0.06+MAX(0,MIN(A136,750000)-400000)*0.075+MAX(0,MIN(A136,1500000)-750000)*0.1+MAX(0,A136-1500000)*0.12))),0)))))+(Inputs!B14+Inputs!B15+Inputs!B16+Inputs!B17)+(Summary!B14)+(Summary!B15)+(((((A136)*Inputs!B20)+(IF(Inputs!B24="Yes",(Summary!B14)*Inputs!B25,0))*Inputs!B26)*Inputs!B21*Inputs!B10/12)+((((A136)*Inputs!B20)+(IF(Inputs!B24="Yes",(Summary!B14)*Inputs!B25,0)))*Inputs!B22)+((((A136)*Inputs!B20)+(IF(Inputs!B24="Yes",(Summary!B14)*Inputs!B25,0)))*Inputs!B23))+(Summary!B17)))</f>
        <v/>
      </c>
      <c r="C136" t="str">
        <f t="shared" si="3"/>
        <v/>
      </c>
    </row>
    <row r="137" spans="1:3" x14ac:dyDescent="0.2">
      <c r="A137" s="16">
        <f>$B$5+(126)*$B$7</f>
        <v>730000</v>
      </c>
      <c r="B137" s="16" t="str">
        <f>IF(A137&gt;$B$6,"",(Inputs!B6)-((A137)+(IF(Inputs!D13&lt;&gt;"",Inputs!D13,IF(Inputs!B7="England &amp; N. Ireland",(IF(Inputs!B8="First-time buyer",(IF(A137&lt;=500000,MAX(0,A137-300000)*0.05,(MAX(0,MIN(A137,250000)-125000)*0.02+MAX(0,MIN(A137,925000)-250000)*0.05+MAX(0,MIN(A137,1500000)-925000)*0.1+MAX(0,A137-1500000)*0.12))),(MAX(0,MIN(A137,250000)-125000)*0.02+MAX(0,MIN(A137,925000)-250000)*0.05+MAX(0,MIN(A137,1500000)-925000)*0.1+MAX(0,A137-1500000)*0.12)+IF(Inputs!B8="Additional / Investor",0.05*A137,0)+IF(Inputs!B9="Yes",0.02*A137,0))),IF(Inputs!B7="Scotland",((MAX(0,MIN(A137,250000)-145000)*0.02+MAX(0,MIN(A137,325000)-250000)*0.05+MAX(0,MIN(A137,750000)-325000)*0.1+MAX(0,A137-750000)*0.12)-IF(Inputs!B8="First-time buyer",(IF(A137&gt;145000,MIN(600,0.02*(MIN(A137,175000)-145000)),0)),0)+IF(Inputs!B8="Additional / Investor",0.08*A137,0)),IF(Inputs!B7="Wales",(IF(Inputs!B8="Additional / Investor",(MIN(A137,180000)*0.05+MAX(0,MIN(A137,250000)-180000)*0.085+MAX(0,MIN(A137,400000)-250000)*0.1+MAX(0,MIN(A137,750000)-400000)*0.125+MAX(0,MIN(A137,1500000)-750000)*0.15+MAX(0,A137-1500000)*0.17),(MAX(0,MIN(A137,400000)-225000)*0.06+MAX(0,MIN(A137,750000)-400000)*0.075+MAX(0,MIN(A137,1500000)-750000)*0.1+MAX(0,A137-1500000)*0.12))),0)))))+(Inputs!B14+Inputs!B15+Inputs!B16+Inputs!B17)+(Summary!B14)+(Summary!B15)+(((((A137)*Inputs!B20)+(IF(Inputs!B24="Yes",(Summary!B14)*Inputs!B25,0))*Inputs!B26)*Inputs!B21*Inputs!B10/12)+((((A137)*Inputs!B20)+(IF(Inputs!B24="Yes",(Summary!B14)*Inputs!B25,0)))*Inputs!B22)+((((A137)*Inputs!B20)+(IF(Inputs!B24="Yes",(Summary!B14)*Inputs!B25,0)))*Inputs!B23))+(Summary!B17)))</f>
        <v/>
      </c>
      <c r="C137" t="str">
        <f t="shared" si="3"/>
        <v/>
      </c>
    </row>
    <row r="138" spans="1:3" x14ac:dyDescent="0.2">
      <c r="A138" s="16">
        <f>$B$5+(127)*$B$7</f>
        <v>735000</v>
      </c>
      <c r="B138" s="16" t="str">
        <f>IF(A138&gt;$B$6,"",(Inputs!B6)-((A138)+(IF(Inputs!D13&lt;&gt;"",Inputs!D13,IF(Inputs!B7="England &amp; N. Ireland",(IF(Inputs!B8="First-time buyer",(IF(A138&lt;=500000,MAX(0,A138-300000)*0.05,(MAX(0,MIN(A138,250000)-125000)*0.02+MAX(0,MIN(A138,925000)-250000)*0.05+MAX(0,MIN(A138,1500000)-925000)*0.1+MAX(0,A138-1500000)*0.12))),(MAX(0,MIN(A138,250000)-125000)*0.02+MAX(0,MIN(A138,925000)-250000)*0.05+MAX(0,MIN(A138,1500000)-925000)*0.1+MAX(0,A138-1500000)*0.12)+IF(Inputs!B8="Additional / Investor",0.05*A138,0)+IF(Inputs!B9="Yes",0.02*A138,0))),IF(Inputs!B7="Scotland",((MAX(0,MIN(A138,250000)-145000)*0.02+MAX(0,MIN(A138,325000)-250000)*0.05+MAX(0,MIN(A138,750000)-325000)*0.1+MAX(0,A138-750000)*0.12)-IF(Inputs!B8="First-time buyer",(IF(A138&gt;145000,MIN(600,0.02*(MIN(A138,175000)-145000)),0)),0)+IF(Inputs!B8="Additional / Investor",0.08*A138,0)),IF(Inputs!B7="Wales",(IF(Inputs!B8="Additional / Investor",(MIN(A138,180000)*0.05+MAX(0,MIN(A138,250000)-180000)*0.085+MAX(0,MIN(A138,400000)-250000)*0.1+MAX(0,MIN(A138,750000)-400000)*0.125+MAX(0,MIN(A138,1500000)-750000)*0.15+MAX(0,A138-1500000)*0.17),(MAX(0,MIN(A138,400000)-225000)*0.06+MAX(0,MIN(A138,750000)-400000)*0.075+MAX(0,MIN(A138,1500000)-750000)*0.1+MAX(0,A138-1500000)*0.12))),0)))))+(Inputs!B14+Inputs!B15+Inputs!B16+Inputs!B17)+(Summary!B14)+(Summary!B15)+(((((A138)*Inputs!B20)+(IF(Inputs!B24="Yes",(Summary!B14)*Inputs!B25,0))*Inputs!B26)*Inputs!B21*Inputs!B10/12)+((((A138)*Inputs!B20)+(IF(Inputs!B24="Yes",(Summary!B14)*Inputs!B25,0)))*Inputs!B22)+((((A138)*Inputs!B20)+(IF(Inputs!B24="Yes",(Summary!B14)*Inputs!B25,0)))*Inputs!B23))+(Summary!B17)))</f>
        <v/>
      </c>
      <c r="C138" t="str">
        <f t="shared" si="3"/>
        <v/>
      </c>
    </row>
    <row r="139" spans="1:3" x14ac:dyDescent="0.2">
      <c r="A139" s="16">
        <f>$B$5+(128)*$B$7</f>
        <v>740000</v>
      </c>
      <c r="B139" s="16" t="str">
        <f>IF(A139&gt;$B$6,"",(Inputs!B6)-((A139)+(IF(Inputs!D13&lt;&gt;"",Inputs!D13,IF(Inputs!B7="England &amp; N. Ireland",(IF(Inputs!B8="First-time buyer",(IF(A139&lt;=500000,MAX(0,A139-300000)*0.05,(MAX(0,MIN(A139,250000)-125000)*0.02+MAX(0,MIN(A139,925000)-250000)*0.05+MAX(0,MIN(A139,1500000)-925000)*0.1+MAX(0,A139-1500000)*0.12))),(MAX(0,MIN(A139,250000)-125000)*0.02+MAX(0,MIN(A139,925000)-250000)*0.05+MAX(0,MIN(A139,1500000)-925000)*0.1+MAX(0,A139-1500000)*0.12)+IF(Inputs!B8="Additional / Investor",0.05*A139,0)+IF(Inputs!B9="Yes",0.02*A139,0))),IF(Inputs!B7="Scotland",((MAX(0,MIN(A139,250000)-145000)*0.02+MAX(0,MIN(A139,325000)-250000)*0.05+MAX(0,MIN(A139,750000)-325000)*0.1+MAX(0,A139-750000)*0.12)-IF(Inputs!B8="First-time buyer",(IF(A139&gt;145000,MIN(600,0.02*(MIN(A139,175000)-145000)),0)),0)+IF(Inputs!B8="Additional / Investor",0.08*A139,0)),IF(Inputs!B7="Wales",(IF(Inputs!B8="Additional / Investor",(MIN(A139,180000)*0.05+MAX(0,MIN(A139,250000)-180000)*0.085+MAX(0,MIN(A139,400000)-250000)*0.1+MAX(0,MIN(A139,750000)-400000)*0.125+MAX(0,MIN(A139,1500000)-750000)*0.15+MAX(0,A139-1500000)*0.17),(MAX(0,MIN(A139,400000)-225000)*0.06+MAX(0,MIN(A139,750000)-400000)*0.075+MAX(0,MIN(A139,1500000)-750000)*0.1+MAX(0,A139-1500000)*0.12))),0)))))+(Inputs!B14+Inputs!B15+Inputs!B16+Inputs!B17)+(Summary!B14)+(Summary!B15)+(((((A139)*Inputs!B20)+(IF(Inputs!B24="Yes",(Summary!B14)*Inputs!B25,0))*Inputs!B26)*Inputs!B21*Inputs!B10/12)+((((A139)*Inputs!B20)+(IF(Inputs!B24="Yes",(Summary!B14)*Inputs!B25,0)))*Inputs!B22)+((((A139)*Inputs!B20)+(IF(Inputs!B24="Yes",(Summary!B14)*Inputs!B25,0)))*Inputs!B23))+(Summary!B17)))</f>
        <v/>
      </c>
      <c r="C139" t="str">
        <f t="shared" ref="C139:C170" si="4">IF(A139&gt;$B$6,"","")</f>
        <v/>
      </c>
    </row>
    <row r="140" spans="1:3" x14ac:dyDescent="0.2">
      <c r="A140" s="16">
        <f>$B$5+(129)*$B$7</f>
        <v>745000</v>
      </c>
      <c r="B140" s="16" t="str">
        <f>IF(A140&gt;$B$6,"",(Inputs!B6)-((A140)+(IF(Inputs!D13&lt;&gt;"",Inputs!D13,IF(Inputs!B7="England &amp; N. Ireland",(IF(Inputs!B8="First-time buyer",(IF(A140&lt;=500000,MAX(0,A140-300000)*0.05,(MAX(0,MIN(A140,250000)-125000)*0.02+MAX(0,MIN(A140,925000)-250000)*0.05+MAX(0,MIN(A140,1500000)-925000)*0.1+MAX(0,A140-1500000)*0.12))),(MAX(0,MIN(A140,250000)-125000)*0.02+MAX(0,MIN(A140,925000)-250000)*0.05+MAX(0,MIN(A140,1500000)-925000)*0.1+MAX(0,A140-1500000)*0.12)+IF(Inputs!B8="Additional / Investor",0.05*A140,0)+IF(Inputs!B9="Yes",0.02*A140,0))),IF(Inputs!B7="Scotland",((MAX(0,MIN(A140,250000)-145000)*0.02+MAX(0,MIN(A140,325000)-250000)*0.05+MAX(0,MIN(A140,750000)-325000)*0.1+MAX(0,A140-750000)*0.12)-IF(Inputs!B8="First-time buyer",(IF(A140&gt;145000,MIN(600,0.02*(MIN(A140,175000)-145000)),0)),0)+IF(Inputs!B8="Additional / Investor",0.08*A140,0)),IF(Inputs!B7="Wales",(IF(Inputs!B8="Additional / Investor",(MIN(A140,180000)*0.05+MAX(0,MIN(A140,250000)-180000)*0.085+MAX(0,MIN(A140,400000)-250000)*0.1+MAX(0,MIN(A140,750000)-400000)*0.125+MAX(0,MIN(A140,1500000)-750000)*0.15+MAX(0,A140-1500000)*0.17),(MAX(0,MIN(A140,400000)-225000)*0.06+MAX(0,MIN(A140,750000)-400000)*0.075+MAX(0,MIN(A140,1500000)-750000)*0.1+MAX(0,A140-1500000)*0.12))),0)))))+(Inputs!B14+Inputs!B15+Inputs!B16+Inputs!B17)+(Summary!B14)+(Summary!B15)+(((((A140)*Inputs!B20)+(IF(Inputs!B24="Yes",(Summary!B14)*Inputs!B25,0))*Inputs!B26)*Inputs!B21*Inputs!B10/12)+((((A140)*Inputs!B20)+(IF(Inputs!B24="Yes",(Summary!B14)*Inputs!B25,0)))*Inputs!B22)+((((A140)*Inputs!B20)+(IF(Inputs!B24="Yes",(Summary!B14)*Inputs!B25,0)))*Inputs!B23))+(Summary!B17)))</f>
        <v/>
      </c>
      <c r="C140" t="str">
        <f t="shared" si="4"/>
        <v/>
      </c>
    </row>
    <row r="141" spans="1:3" x14ac:dyDescent="0.2">
      <c r="A141" s="16">
        <f>$B$5+(130)*$B$7</f>
        <v>750000</v>
      </c>
      <c r="B141" s="16" t="str">
        <f>IF(A141&gt;$B$6,"",(Inputs!B6)-((A141)+(IF(Inputs!D13&lt;&gt;"",Inputs!D13,IF(Inputs!B7="England &amp; N. Ireland",(IF(Inputs!B8="First-time buyer",(IF(A141&lt;=500000,MAX(0,A141-300000)*0.05,(MAX(0,MIN(A141,250000)-125000)*0.02+MAX(0,MIN(A141,925000)-250000)*0.05+MAX(0,MIN(A141,1500000)-925000)*0.1+MAX(0,A141-1500000)*0.12))),(MAX(0,MIN(A141,250000)-125000)*0.02+MAX(0,MIN(A141,925000)-250000)*0.05+MAX(0,MIN(A141,1500000)-925000)*0.1+MAX(0,A141-1500000)*0.12)+IF(Inputs!B8="Additional / Investor",0.05*A141,0)+IF(Inputs!B9="Yes",0.02*A141,0))),IF(Inputs!B7="Scotland",((MAX(0,MIN(A141,250000)-145000)*0.02+MAX(0,MIN(A141,325000)-250000)*0.05+MAX(0,MIN(A141,750000)-325000)*0.1+MAX(0,A141-750000)*0.12)-IF(Inputs!B8="First-time buyer",(IF(A141&gt;145000,MIN(600,0.02*(MIN(A141,175000)-145000)),0)),0)+IF(Inputs!B8="Additional / Investor",0.08*A141,0)),IF(Inputs!B7="Wales",(IF(Inputs!B8="Additional / Investor",(MIN(A141,180000)*0.05+MAX(0,MIN(A141,250000)-180000)*0.085+MAX(0,MIN(A141,400000)-250000)*0.1+MAX(0,MIN(A141,750000)-400000)*0.125+MAX(0,MIN(A141,1500000)-750000)*0.15+MAX(0,A141-1500000)*0.17),(MAX(0,MIN(A141,400000)-225000)*0.06+MAX(0,MIN(A141,750000)-400000)*0.075+MAX(0,MIN(A141,1500000)-750000)*0.1+MAX(0,A141-1500000)*0.12))),0)))))+(Inputs!B14+Inputs!B15+Inputs!B16+Inputs!B17)+(Summary!B14)+(Summary!B15)+(((((A141)*Inputs!B20)+(IF(Inputs!B24="Yes",(Summary!B14)*Inputs!B25,0))*Inputs!B26)*Inputs!B21*Inputs!B10/12)+((((A141)*Inputs!B20)+(IF(Inputs!B24="Yes",(Summary!B14)*Inputs!B25,0)))*Inputs!B22)+((((A141)*Inputs!B20)+(IF(Inputs!B24="Yes",(Summary!B14)*Inputs!B25,0)))*Inputs!B23))+(Summary!B17)))</f>
        <v/>
      </c>
      <c r="C141" t="str">
        <f t="shared" si="4"/>
        <v/>
      </c>
    </row>
    <row r="142" spans="1:3" x14ac:dyDescent="0.2">
      <c r="A142" s="16">
        <f>$B$5+(131)*$B$7</f>
        <v>755000</v>
      </c>
      <c r="B142" s="16" t="str">
        <f>IF(A142&gt;$B$6,"",(Inputs!B6)-((A142)+(IF(Inputs!D13&lt;&gt;"",Inputs!D13,IF(Inputs!B7="England &amp; N. Ireland",(IF(Inputs!B8="First-time buyer",(IF(A142&lt;=500000,MAX(0,A142-300000)*0.05,(MAX(0,MIN(A142,250000)-125000)*0.02+MAX(0,MIN(A142,925000)-250000)*0.05+MAX(0,MIN(A142,1500000)-925000)*0.1+MAX(0,A142-1500000)*0.12))),(MAX(0,MIN(A142,250000)-125000)*0.02+MAX(0,MIN(A142,925000)-250000)*0.05+MAX(0,MIN(A142,1500000)-925000)*0.1+MAX(0,A142-1500000)*0.12)+IF(Inputs!B8="Additional / Investor",0.05*A142,0)+IF(Inputs!B9="Yes",0.02*A142,0))),IF(Inputs!B7="Scotland",((MAX(0,MIN(A142,250000)-145000)*0.02+MAX(0,MIN(A142,325000)-250000)*0.05+MAX(0,MIN(A142,750000)-325000)*0.1+MAX(0,A142-750000)*0.12)-IF(Inputs!B8="First-time buyer",(IF(A142&gt;145000,MIN(600,0.02*(MIN(A142,175000)-145000)),0)),0)+IF(Inputs!B8="Additional / Investor",0.08*A142,0)),IF(Inputs!B7="Wales",(IF(Inputs!B8="Additional / Investor",(MIN(A142,180000)*0.05+MAX(0,MIN(A142,250000)-180000)*0.085+MAX(0,MIN(A142,400000)-250000)*0.1+MAX(0,MIN(A142,750000)-400000)*0.125+MAX(0,MIN(A142,1500000)-750000)*0.15+MAX(0,A142-1500000)*0.17),(MAX(0,MIN(A142,400000)-225000)*0.06+MAX(0,MIN(A142,750000)-400000)*0.075+MAX(0,MIN(A142,1500000)-750000)*0.1+MAX(0,A142-1500000)*0.12))),0)))))+(Inputs!B14+Inputs!B15+Inputs!B16+Inputs!B17)+(Summary!B14)+(Summary!B15)+(((((A142)*Inputs!B20)+(IF(Inputs!B24="Yes",(Summary!B14)*Inputs!B25,0))*Inputs!B26)*Inputs!B21*Inputs!B10/12)+((((A142)*Inputs!B20)+(IF(Inputs!B24="Yes",(Summary!B14)*Inputs!B25,0)))*Inputs!B22)+((((A142)*Inputs!B20)+(IF(Inputs!B24="Yes",(Summary!B14)*Inputs!B25,0)))*Inputs!B23))+(Summary!B17)))</f>
        <v/>
      </c>
      <c r="C142" t="str">
        <f t="shared" si="4"/>
        <v/>
      </c>
    </row>
    <row r="143" spans="1:3" x14ac:dyDescent="0.2">
      <c r="A143" s="16">
        <f>$B$5+(132)*$B$7</f>
        <v>760000</v>
      </c>
      <c r="B143" s="16" t="str">
        <f>IF(A143&gt;$B$6,"",(Inputs!B6)-((A143)+(IF(Inputs!D13&lt;&gt;"",Inputs!D13,IF(Inputs!B7="England &amp; N. Ireland",(IF(Inputs!B8="First-time buyer",(IF(A143&lt;=500000,MAX(0,A143-300000)*0.05,(MAX(0,MIN(A143,250000)-125000)*0.02+MAX(0,MIN(A143,925000)-250000)*0.05+MAX(0,MIN(A143,1500000)-925000)*0.1+MAX(0,A143-1500000)*0.12))),(MAX(0,MIN(A143,250000)-125000)*0.02+MAX(0,MIN(A143,925000)-250000)*0.05+MAX(0,MIN(A143,1500000)-925000)*0.1+MAX(0,A143-1500000)*0.12)+IF(Inputs!B8="Additional / Investor",0.05*A143,0)+IF(Inputs!B9="Yes",0.02*A143,0))),IF(Inputs!B7="Scotland",((MAX(0,MIN(A143,250000)-145000)*0.02+MAX(0,MIN(A143,325000)-250000)*0.05+MAX(0,MIN(A143,750000)-325000)*0.1+MAX(0,A143-750000)*0.12)-IF(Inputs!B8="First-time buyer",(IF(A143&gt;145000,MIN(600,0.02*(MIN(A143,175000)-145000)),0)),0)+IF(Inputs!B8="Additional / Investor",0.08*A143,0)),IF(Inputs!B7="Wales",(IF(Inputs!B8="Additional / Investor",(MIN(A143,180000)*0.05+MAX(0,MIN(A143,250000)-180000)*0.085+MAX(0,MIN(A143,400000)-250000)*0.1+MAX(0,MIN(A143,750000)-400000)*0.125+MAX(0,MIN(A143,1500000)-750000)*0.15+MAX(0,A143-1500000)*0.17),(MAX(0,MIN(A143,400000)-225000)*0.06+MAX(0,MIN(A143,750000)-400000)*0.075+MAX(0,MIN(A143,1500000)-750000)*0.1+MAX(0,A143-1500000)*0.12))),0)))))+(Inputs!B14+Inputs!B15+Inputs!B16+Inputs!B17)+(Summary!B14)+(Summary!B15)+(((((A143)*Inputs!B20)+(IF(Inputs!B24="Yes",(Summary!B14)*Inputs!B25,0))*Inputs!B26)*Inputs!B21*Inputs!B10/12)+((((A143)*Inputs!B20)+(IF(Inputs!B24="Yes",(Summary!B14)*Inputs!B25,0)))*Inputs!B22)+((((A143)*Inputs!B20)+(IF(Inputs!B24="Yes",(Summary!B14)*Inputs!B25,0)))*Inputs!B23))+(Summary!B17)))</f>
        <v/>
      </c>
      <c r="C143" t="str">
        <f t="shared" si="4"/>
        <v/>
      </c>
    </row>
    <row r="144" spans="1:3" x14ac:dyDescent="0.2">
      <c r="A144" s="16">
        <f>$B$5+(133)*$B$7</f>
        <v>765000</v>
      </c>
      <c r="B144" s="16" t="str">
        <f>IF(A144&gt;$B$6,"",(Inputs!B6)-((A144)+(IF(Inputs!D13&lt;&gt;"",Inputs!D13,IF(Inputs!B7="England &amp; N. Ireland",(IF(Inputs!B8="First-time buyer",(IF(A144&lt;=500000,MAX(0,A144-300000)*0.05,(MAX(0,MIN(A144,250000)-125000)*0.02+MAX(0,MIN(A144,925000)-250000)*0.05+MAX(0,MIN(A144,1500000)-925000)*0.1+MAX(0,A144-1500000)*0.12))),(MAX(0,MIN(A144,250000)-125000)*0.02+MAX(0,MIN(A144,925000)-250000)*0.05+MAX(0,MIN(A144,1500000)-925000)*0.1+MAX(0,A144-1500000)*0.12)+IF(Inputs!B8="Additional / Investor",0.05*A144,0)+IF(Inputs!B9="Yes",0.02*A144,0))),IF(Inputs!B7="Scotland",((MAX(0,MIN(A144,250000)-145000)*0.02+MAX(0,MIN(A144,325000)-250000)*0.05+MAX(0,MIN(A144,750000)-325000)*0.1+MAX(0,A144-750000)*0.12)-IF(Inputs!B8="First-time buyer",(IF(A144&gt;145000,MIN(600,0.02*(MIN(A144,175000)-145000)),0)),0)+IF(Inputs!B8="Additional / Investor",0.08*A144,0)),IF(Inputs!B7="Wales",(IF(Inputs!B8="Additional / Investor",(MIN(A144,180000)*0.05+MAX(0,MIN(A144,250000)-180000)*0.085+MAX(0,MIN(A144,400000)-250000)*0.1+MAX(0,MIN(A144,750000)-400000)*0.125+MAX(0,MIN(A144,1500000)-750000)*0.15+MAX(0,A144-1500000)*0.17),(MAX(0,MIN(A144,400000)-225000)*0.06+MAX(0,MIN(A144,750000)-400000)*0.075+MAX(0,MIN(A144,1500000)-750000)*0.1+MAX(0,A144-1500000)*0.12))),0)))))+(Inputs!B14+Inputs!B15+Inputs!B16+Inputs!B17)+(Summary!B14)+(Summary!B15)+(((((A144)*Inputs!B20)+(IF(Inputs!B24="Yes",(Summary!B14)*Inputs!B25,0))*Inputs!B26)*Inputs!B21*Inputs!B10/12)+((((A144)*Inputs!B20)+(IF(Inputs!B24="Yes",(Summary!B14)*Inputs!B25,0)))*Inputs!B22)+((((A144)*Inputs!B20)+(IF(Inputs!B24="Yes",(Summary!B14)*Inputs!B25,0)))*Inputs!B23))+(Summary!B17)))</f>
        <v/>
      </c>
      <c r="C144" t="str">
        <f t="shared" si="4"/>
        <v/>
      </c>
    </row>
    <row r="145" spans="1:3" x14ac:dyDescent="0.2">
      <c r="A145" s="16">
        <f>$B$5+(134)*$B$7</f>
        <v>770000</v>
      </c>
      <c r="B145" s="16" t="str">
        <f>IF(A145&gt;$B$6,"",(Inputs!B6)-((A145)+(IF(Inputs!D13&lt;&gt;"",Inputs!D13,IF(Inputs!B7="England &amp; N. Ireland",(IF(Inputs!B8="First-time buyer",(IF(A145&lt;=500000,MAX(0,A145-300000)*0.05,(MAX(0,MIN(A145,250000)-125000)*0.02+MAX(0,MIN(A145,925000)-250000)*0.05+MAX(0,MIN(A145,1500000)-925000)*0.1+MAX(0,A145-1500000)*0.12))),(MAX(0,MIN(A145,250000)-125000)*0.02+MAX(0,MIN(A145,925000)-250000)*0.05+MAX(0,MIN(A145,1500000)-925000)*0.1+MAX(0,A145-1500000)*0.12)+IF(Inputs!B8="Additional / Investor",0.05*A145,0)+IF(Inputs!B9="Yes",0.02*A145,0))),IF(Inputs!B7="Scotland",((MAX(0,MIN(A145,250000)-145000)*0.02+MAX(0,MIN(A145,325000)-250000)*0.05+MAX(0,MIN(A145,750000)-325000)*0.1+MAX(0,A145-750000)*0.12)-IF(Inputs!B8="First-time buyer",(IF(A145&gt;145000,MIN(600,0.02*(MIN(A145,175000)-145000)),0)),0)+IF(Inputs!B8="Additional / Investor",0.08*A145,0)),IF(Inputs!B7="Wales",(IF(Inputs!B8="Additional / Investor",(MIN(A145,180000)*0.05+MAX(0,MIN(A145,250000)-180000)*0.085+MAX(0,MIN(A145,400000)-250000)*0.1+MAX(0,MIN(A145,750000)-400000)*0.125+MAX(0,MIN(A145,1500000)-750000)*0.15+MAX(0,A145-1500000)*0.17),(MAX(0,MIN(A145,400000)-225000)*0.06+MAX(0,MIN(A145,750000)-400000)*0.075+MAX(0,MIN(A145,1500000)-750000)*0.1+MAX(0,A145-1500000)*0.12))),0)))))+(Inputs!B14+Inputs!B15+Inputs!B16+Inputs!B17)+(Summary!B14)+(Summary!B15)+(((((A145)*Inputs!B20)+(IF(Inputs!B24="Yes",(Summary!B14)*Inputs!B25,0))*Inputs!B26)*Inputs!B21*Inputs!B10/12)+((((A145)*Inputs!B20)+(IF(Inputs!B24="Yes",(Summary!B14)*Inputs!B25,0)))*Inputs!B22)+((((A145)*Inputs!B20)+(IF(Inputs!B24="Yes",(Summary!B14)*Inputs!B25,0)))*Inputs!B23))+(Summary!B17)))</f>
        <v/>
      </c>
      <c r="C145" t="str">
        <f t="shared" si="4"/>
        <v/>
      </c>
    </row>
    <row r="146" spans="1:3" x14ac:dyDescent="0.2">
      <c r="A146" s="16">
        <f>$B$5+(135)*$B$7</f>
        <v>775000</v>
      </c>
      <c r="B146" s="16" t="str">
        <f>IF(A146&gt;$B$6,"",(Inputs!B6)-((A146)+(IF(Inputs!D13&lt;&gt;"",Inputs!D13,IF(Inputs!B7="England &amp; N. Ireland",(IF(Inputs!B8="First-time buyer",(IF(A146&lt;=500000,MAX(0,A146-300000)*0.05,(MAX(0,MIN(A146,250000)-125000)*0.02+MAX(0,MIN(A146,925000)-250000)*0.05+MAX(0,MIN(A146,1500000)-925000)*0.1+MAX(0,A146-1500000)*0.12))),(MAX(0,MIN(A146,250000)-125000)*0.02+MAX(0,MIN(A146,925000)-250000)*0.05+MAX(0,MIN(A146,1500000)-925000)*0.1+MAX(0,A146-1500000)*0.12)+IF(Inputs!B8="Additional / Investor",0.05*A146,0)+IF(Inputs!B9="Yes",0.02*A146,0))),IF(Inputs!B7="Scotland",((MAX(0,MIN(A146,250000)-145000)*0.02+MAX(0,MIN(A146,325000)-250000)*0.05+MAX(0,MIN(A146,750000)-325000)*0.1+MAX(0,A146-750000)*0.12)-IF(Inputs!B8="First-time buyer",(IF(A146&gt;145000,MIN(600,0.02*(MIN(A146,175000)-145000)),0)),0)+IF(Inputs!B8="Additional / Investor",0.08*A146,0)),IF(Inputs!B7="Wales",(IF(Inputs!B8="Additional / Investor",(MIN(A146,180000)*0.05+MAX(0,MIN(A146,250000)-180000)*0.085+MAX(0,MIN(A146,400000)-250000)*0.1+MAX(0,MIN(A146,750000)-400000)*0.125+MAX(0,MIN(A146,1500000)-750000)*0.15+MAX(0,A146-1500000)*0.17),(MAX(0,MIN(A146,400000)-225000)*0.06+MAX(0,MIN(A146,750000)-400000)*0.075+MAX(0,MIN(A146,1500000)-750000)*0.1+MAX(0,A146-1500000)*0.12))),0)))))+(Inputs!B14+Inputs!B15+Inputs!B16+Inputs!B17)+(Summary!B14)+(Summary!B15)+(((((A146)*Inputs!B20)+(IF(Inputs!B24="Yes",(Summary!B14)*Inputs!B25,0))*Inputs!B26)*Inputs!B21*Inputs!B10/12)+((((A146)*Inputs!B20)+(IF(Inputs!B24="Yes",(Summary!B14)*Inputs!B25,0)))*Inputs!B22)+((((A146)*Inputs!B20)+(IF(Inputs!B24="Yes",(Summary!B14)*Inputs!B25,0)))*Inputs!B23))+(Summary!B17)))</f>
        <v/>
      </c>
      <c r="C146" t="str">
        <f t="shared" si="4"/>
        <v/>
      </c>
    </row>
    <row r="147" spans="1:3" x14ac:dyDescent="0.2">
      <c r="A147" s="16">
        <f>$B$5+(136)*$B$7</f>
        <v>780000</v>
      </c>
      <c r="B147" s="16" t="str">
        <f>IF(A147&gt;$B$6,"",(Inputs!B6)-((A147)+(IF(Inputs!D13&lt;&gt;"",Inputs!D13,IF(Inputs!B7="England &amp; N. Ireland",(IF(Inputs!B8="First-time buyer",(IF(A147&lt;=500000,MAX(0,A147-300000)*0.05,(MAX(0,MIN(A147,250000)-125000)*0.02+MAX(0,MIN(A147,925000)-250000)*0.05+MAX(0,MIN(A147,1500000)-925000)*0.1+MAX(0,A147-1500000)*0.12))),(MAX(0,MIN(A147,250000)-125000)*0.02+MAX(0,MIN(A147,925000)-250000)*0.05+MAX(0,MIN(A147,1500000)-925000)*0.1+MAX(0,A147-1500000)*0.12)+IF(Inputs!B8="Additional / Investor",0.05*A147,0)+IF(Inputs!B9="Yes",0.02*A147,0))),IF(Inputs!B7="Scotland",((MAX(0,MIN(A147,250000)-145000)*0.02+MAX(0,MIN(A147,325000)-250000)*0.05+MAX(0,MIN(A147,750000)-325000)*0.1+MAX(0,A147-750000)*0.12)-IF(Inputs!B8="First-time buyer",(IF(A147&gt;145000,MIN(600,0.02*(MIN(A147,175000)-145000)),0)),0)+IF(Inputs!B8="Additional / Investor",0.08*A147,0)),IF(Inputs!B7="Wales",(IF(Inputs!B8="Additional / Investor",(MIN(A147,180000)*0.05+MAX(0,MIN(A147,250000)-180000)*0.085+MAX(0,MIN(A147,400000)-250000)*0.1+MAX(0,MIN(A147,750000)-400000)*0.125+MAX(0,MIN(A147,1500000)-750000)*0.15+MAX(0,A147-1500000)*0.17),(MAX(0,MIN(A147,400000)-225000)*0.06+MAX(0,MIN(A147,750000)-400000)*0.075+MAX(0,MIN(A147,1500000)-750000)*0.1+MAX(0,A147-1500000)*0.12))),0)))))+(Inputs!B14+Inputs!B15+Inputs!B16+Inputs!B17)+(Summary!B14)+(Summary!B15)+(((((A147)*Inputs!B20)+(IF(Inputs!B24="Yes",(Summary!B14)*Inputs!B25,0))*Inputs!B26)*Inputs!B21*Inputs!B10/12)+((((A147)*Inputs!B20)+(IF(Inputs!B24="Yes",(Summary!B14)*Inputs!B25,0)))*Inputs!B22)+((((A147)*Inputs!B20)+(IF(Inputs!B24="Yes",(Summary!B14)*Inputs!B25,0)))*Inputs!B23))+(Summary!B17)))</f>
        <v/>
      </c>
      <c r="C147" t="str">
        <f t="shared" si="4"/>
        <v/>
      </c>
    </row>
    <row r="148" spans="1:3" x14ac:dyDescent="0.2">
      <c r="A148" s="16">
        <f>$B$5+(137)*$B$7</f>
        <v>785000</v>
      </c>
      <c r="B148" s="16" t="str">
        <f>IF(A148&gt;$B$6,"",(Inputs!B6)-((A148)+(IF(Inputs!D13&lt;&gt;"",Inputs!D13,IF(Inputs!B7="England &amp; N. Ireland",(IF(Inputs!B8="First-time buyer",(IF(A148&lt;=500000,MAX(0,A148-300000)*0.05,(MAX(0,MIN(A148,250000)-125000)*0.02+MAX(0,MIN(A148,925000)-250000)*0.05+MAX(0,MIN(A148,1500000)-925000)*0.1+MAX(0,A148-1500000)*0.12))),(MAX(0,MIN(A148,250000)-125000)*0.02+MAX(0,MIN(A148,925000)-250000)*0.05+MAX(0,MIN(A148,1500000)-925000)*0.1+MAX(0,A148-1500000)*0.12)+IF(Inputs!B8="Additional / Investor",0.05*A148,0)+IF(Inputs!B9="Yes",0.02*A148,0))),IF(Inputs!B7="Scotland",((MAX(0,MIN(A148,250000)-145000)*0.02+MAX(0,MIN(A148,325000)-250000)*0.05+MAX(0,MIN(A148,750000)-325000)*0.1+MAX(0,A148-750000)*0.12)-IF(Inputs!B8="First-time buyer",(IF(A148&gt;145000,MIN(600,0.02*(MIN(A148,175000)-145000)),0)),0)+IF(Inputs!B8="Additional / Investor",0.08*A148,0)),IF(Inputs!B7="Wales",(IF(Inputs!B8="Additional / Investor",(MIN(A148,180000)*0.05+MAX(0,MIN(A148,250000)-180000)*0.085+MAX(0,MIN(A148,400000)-250000)*0.1+MAX(0,MIN(A148,750000)-400000)*0.125+MAX(0,MIN(A148,1500000)-750000)*0.15+MAX(0,A148-1500000)*0.17),(MAX(0,MIN(A148,400000)-225000)*0.06+MAX(0,MIN(A148,750000)-400000)*0.075+MAX(0,MIN(A148,1500000)-750000)*0.1+MAX(0,A148-1500000)*0.12))),0)))))+(Inputs!B14+Inputs!B15+Inputs!B16+Inputs!B17)+(Summary!B14)+(Summary!B15)+(((((A148)*Inputs!B20)+(IF(Inputs!B24="Yes",(Summary!B14)*Inputs!B25,0))*Inputs!B26)*Inputs!B21*Inputs!B10/12)+((((A148)*Inputs!B20)+(IF(Inputs!B24="Yes",(Summary!B14)*Inputs!B25,0)))*Inputs!B22)+((((A148)*Inputs!B20)+(IF(Inputs!B24="Yes",(Summary!B14)*Inputs!B25,0)))*Inputs!B23))+(Summary!B17)))</f>
        <v/>
      </c>
      <c r="C148" t="str">
        <f t="shared" si="4"/>
        <v/>
      </c>
    </row>
    <row r="149" spans="1:3" x14ac:dyDescent="0.2">
      <c r="A149" s="16">
        <f>$B$5+(138)*$B$7</f>
        <v>790000</v>
      </c>
      <c r="B149" s="16" t="str">
        <f>IF(A149&gt;$B$6,"",(Inputs!B6)-((A149)+(IF(Inputs!D13&lt;&gt;"",Inputs!D13,IF(Inputs!B7="England &amp; N. Ireland",(IF(Inputs!B8="First-time buyer",(IF(A149&lt;=500000,MAX(0,A149-300000)*0.05,(MAX(0,MIN(A149,250000)-125000)*0.02+MAX(0,MIN(A149,925000)-250000)*0.05+MAX(0,MIN(A149,1500000)-925000)*0.1+MAX(0,A149-1500000)*0.12))),(MAX(0,MIN(A149,250000)-125000)*0.02+MAX(0,MIN(A149,925000)-250000)*0.05+MAX(0,MIN(A149,1500000)-925000)*0.1+MAX(0,A149-1500000)*0.12)+IF(Inputs!B8="Additional / Investor",0.05*A149,0)+IF(Inputs!B9="Yes",0.02*A149,0))),IF(Inputs!B7="Scotland",((MAX(0,MIN(A149,250000)-145000)*0.02+MAX(0,MIN(A149,325000)-250000)*0.05+MAX(0,MIN(A149,750000)-325000)*0.1+MAX(0,A149-750000)*0.12)-IF(Inputs!B8="First-time buyer",(IF(A149&gt;145000,MIN(600,0.02*(MIN(A149,175000)-145000)),0)),0)+IF(Inputs!B8="Additional / Investor",0.08*A149,0)),IF(Inputs!B7="Wales",(IF(Inputs!B8="Additional / Investor",(MIN(A149,180000)*0.05+MAX(0,MIN(A149,250000)-180000)*0.085+MAX(0,MIN(A149,400000)-250000)*0.1+MAX(0,MIN(A149,750000)-400000)*0.125+MAX(0,MIN(A149,1500000)-750000)*0.15+MAX(0,A149-1500000)*0.17),(MAX(0,MIN(A149,400000)-225000)*0.06+MAX(0,MIN(A149,750000)-400000)*0.075+MAX(0,MIN(A149,1500000)-750000)*0.1+MAX(0,A149-1500000)*0.12))),0)))))+(Inputs!B14+Inputs!B15+Inputs!B16+Inputs!B17)+(Summary!B14)+(Summary!B15)+(((((A149)*Inputs!B20)+(IF(Inputs!B24="Yes",(Summary!B14)*Inputs!B25,0))*Inputs!B26)*Inputs!B21*Inputs!B10/12)+((((A149)*Inputs!B20)+(IF(Inputs!B24="Yes",(Summary!B14)*Inputs!B25,0)))*Inputs!B22)+((((A149)*Inputs!B20)+(IF(Inputs!B24="Yes",(Summary!B14)*Inputs!B25,0)))*Inputs!B23))+(Summary!B17)))</f>
        <v/>
      </c>
      <c r="C149" t="str">
        <f t="shared" si="4"/>
        <v/>
      </c>
    </row>
    <row r="150" spans="1:3" x14ac:dyDescent="0.2">
      <c r="A150" s="16">
        <f>$B$5+(139)*$B$7</f>
        <v>795000</v>
      </c>
      <c r="B150" s="16" t="str">
        <f>IF(A150&gt;$B$6,"",(Inputs!B6)-((A150)+(IF(Inputs!D13&lt;&gt;"",Inputs!D13,IF(Inputs!B7="England &amp; N. Ireland",(IF(Inputs!B8="First-time buyer",(IF(A150&lt;=500000,MAX(0,A150-300000)*0.05,(MAX(0,MIN(A150,250000)-125000)*0.02+MAX(0,MIN(A150,925000)-250000)*0.05+MAX(0,MIN(A150,1500000)-925000)*0.1+MAX(0,A150-1500000)*0.12))),(MAX(0,MIN(A150,250000)-125000)*0.02+MAX(0,MIN(A150,925000)-250000)*0.05+MAX(0,MIN(A150,1500000)-925000)*0.1+MAX(0,A150-1500000)*0.12)+IF(Inputs!B8="Additional / Investor",0.05*A150,0)+IF(Inputs!B9="Yes",0.02*A150,0))),IF(Inputs!B7="Scotland",((MAX(0,MIN(A150,250000)-145000)*0.02+MAX(0,MIN(A150,325000)-250000)*0.05+MAX(0,MIN(A150,750000)-325000)*0.1+MAX(0,A150-750000)*0.12)-IF(Inputs!B8="First-time buyer",(IF(A150&gt;145000,MIN(600,0.02*(MIN(A150,175000)-145000)),0)),0)+IF(Inputs!B8="Additional / Investor",0.08*A150,0)),IF(Inputs!B7="Wales",(IF(Inputs!B8="Additional / Investor",(MIN(A150,180000)*0.05+MAX(0,MIN(A150,250000)-180000)*0.085+MAX(0,MIN(A150,400000)-250000)*0.1+MAX(0,MIN(A150,750000)-400000)*0.125+MAX(0,MIN(A150,1500000)-750000)*0.15+MAX(0,A150-1500000)*0.17),(MAX(0,MIN(A150,400000)-225000)*0.06+MAX(0,MIN(A150,750000)-400000)*0.075+MAX(0,MIN(A150,1500000)-750000)*0.1+MAX(0,A150-1500000)*0.12))),0)))))+(Inputs!B14+Inputs!B15+Inputs!B16+Inputs!B17)+(Summary!B14)+(Summary!B15)+(((((A150)*Inputs!B20)+(IF(Inputs!B24="Yes",(Summary!B14)*Inputs!B25,0))*Inputs!B26)*Inputs!B21*Inputs!B10/12)+((((A150)*Inputs!B20)+(IF(Inputs!B24="Yes",(Summary!B14)*Inputs!B25,0)))*Inputs!B22)+((((A150)*Inputs!B20)+(IF(Inputs!B24="Yes",(Summary!B14)*Inputs!B25,0)))*Inputs!B23))+(Summary!B17)))</f>
        <v/>
      </c>
      <c r="C150" t="str">
        <f t="shared" si="4"/>
        <v/>
      </c>
    </row>
    <row r="151" spans="1:3" x14ac:dyDescent="0.2">
      <c r="A151" s="16">
        <f>$B$5+(140)*$B$7</f>
        <v>800000</v>
      </c>
      <c r="B151" s="16" t="str">
        <f>IF(A151&gt;$B$6,"",(Inputs!B6)-((A151)+(IF(Inputs!D13&lt;&gt;"",Inputs!D13,IF(Inputs!B7="England &amp; N. Ireland",(IF(Inputs!B8="First-time buyer",(IF(A151&lt;=500000,MAX(0,A151-300000)*0.05,(MAX(0,MIN(A151,250000)-125000)*0.02+MAX(0,MIN(A151,925000)-250000)*0.05+MAX(0,MIN(A151,1500000)-925000)*0.1+MAX(0,A151-1500000)*0.12))),(MAX(0,MIN(A151,250000)-125000)*0.02+MAX(0,MIN(A151,925000)-250000)*0.05+MAX(0,MIN(A151,1500000)-925000)*0.1+MAX(0,A151-1500000)*0.12)+IF(Inputs!B8="Additional / Investor",0.05*A151,0)+IF(Inputs!B9="Yes",0.02*A151,0))),IF(Inputs!B7="Scotland",((MAX(0,MIN(A151,250000)-145000)*0.02+MAX(0,MIN(A151,325000)-250000)*0.05+MAX(0,MIN(A151,750000)-325000)*0.1+MAX(0,A151-750000)*0.12)-IF(Inputs!B8="First-time buyer",(IF(A151&gt;145000,MIN(600,0.02*(MIN(A151,175000)-145000)),0)),0)+IF(Inputs!B8="Additional / Investor",0.08*A151,0)),IF(Inputs!B7="Wales",(IF(Inputs!B8="Additional / Investor",(MIN(A151,180000)*0.05+MAX(0,MIN(A151,250000)-180000)*0.085+MAX(0,MIN(A151,400000)-250000)*0.1+MAX(0,MIN(A151,750000)-400000)*0.125+MAX(0,MIN(A151,1500000)-750000)*0.15+MAX(0,A151-1500000)*0.17),(MAX(0,MIN(A151,400000)-225000)*0.06+MAX(0,MIN(A151,750000)-400000)*0.075+MAX(0,MIN(A151,1500000)-750000)*0.1+MAX(0,A151-1500000)*0.12))),0)))))+(Inputs!B14+Inputs!B15+Inputs!B16+Inputs!B17)+(Summary!B14)+(Summary!B15)+(((((A151)*Inputs!B20)+(IF(Inputs!B24="Yes",(Summary!B14)*Inputs!B25,0))*Inputs!B26)*Inputs!B21*Inputs!B10/12)+((((A151)*Inputs!B20)+(IF(Inputs!B24="Yes",(Summary!B14)*Inputs!B25,0)))*Inputs!B22)+((((A151)*Inputs!B20)+(IF(Inputs!B24="Yes",(Summary!B14)*Inputs!B25,0)))*Inputs!B23))+(Summary!B17)))</f>
        <v/>
      </c>
      <c r="C151" t="str">
        <f t="shared" si="4"/>
        <v/>
      </c>
    </row>
    <row r="152" spans="1:3" x14ac:dyDescent="0.2">
      <c r="A152" s="16">
        <f>$B$5+(141)*$B$7</f>
        <v>805000</v>
      </c>
      <c r="B152" s="16" t="str">
        <f>IF(A152&gt;$B$6,"",(Inputs!B6)-((A152)+(IF(Inputs!D13&lt;&gt;"",Inputs!D13,IF(Inputs!B7="England &amp; N. Ireland",(IF(Inputs!B8="First-time buyer",(IF(A152&lt;=500000,MAX(0,A152-300000)*0.05,(MAX(0,MIN(A152,250000)-125000)*0.02+MAX(0,MIN(A152,925000)-250000)*0.05+MAX(0,MIN(A152,1500000)-925000)*0.1+MAX(0,A152-1500000)*0.12))),(MAX(0,MIN(A152,250000)-125000)*0.02+MAX(0,MIN(A152,925000)-250000)*0.05+MAX(0,MIN(A152,1500000)-925000)*0.1+MAX(0,A152-1500000)*0.12)+IF(Inputs!B8="Additional / Investor",0.05*A152,0)+IF(Inputs!B9="Yes",0.02*A152,0))),IF(Inputs!B7="Scotland",((MAX(0,MIN(A152,250000)-145000)*0.02+MAX(0,MIN(A152,325000)-250000)*0.05+MAX(0,MIN(A152,750000)-325000)*0.1+MAX(0,A152-750000)*0.12)-IF(Inputs!B8="First-time buyer",(IF(A152&gt;145000,MIN(600,0.02*(MIN(A152,175000)-145000)),0)),0)+IF(Inputs!B8="Additional / Investor",0.08*A152,0)),IF(Inputs!B7="Wales",(IF(Inputs!B8="Additional / Investor",(MIN(A152,180000)*0.05+MAX(0,MIN(A152,250000)-180000)*0.085+MAX(0,MIN(A152,400000)-250000)*0.1+MAX(0,MIN(A152,750000)-400000)*0.125+MAX(0,MIN(A152,1500000)-750000)*0.15+MAX(0,A152-1500000)*0.17),(MAX(0,MIN(A152,400000)-225000)*0.06+MAX(0,MIN(A152,750000)-400000)*0.075+MAX(0,MIN(A152,1500000)-750000)*0.1+MAX(0,A152-1500000)*0.12))),0)))))+(Inputs!B14+Inputs!B15+Inputs!B16+Inputs!B17)+(Summary!B14)+(Summary!B15)+(((((A152)*Inputs!B20)+(IF(Inputs!B24="Yes",(Summary!B14)*Inputs!B25,0))*Inputs!B26)*Inputs!B21*Inputs!B10/12)+((((A152)*Inputs!B20)+(IF(Inputs!B24="Yes",(Summary!B14)*Inputs!B25,0)))*Inputs!B22)+((((A152)*Inputs!B20)+(IF(Inputs!B24="Yes",(Summary!B14)*Inputs!B25,0)))*Inputs!B23))+(Summary!B17)))</f>
        <v/>
      </c>
      <c r="C152" t="str">
        <f t="shared" si="4"/>
        <v/>
      </c>
    </row>
    <row r="153" spans="1:3" x14ac:dyDescent="0.2">
      <c r="A153" s="16">
        <f>$B$5+(142)*$B$7</f>
        <v>810000</v>
      </c>
      <c r="B153" s="16" t="str">
        <f>IF(A153&gt;$B$6,"",(Inputs!B6)-((A153)+(IF(Inputs!D13&lt;&gt;"",Inputs!D13,IF(Inputs!B7="England &amp; N. Ireland",(IF(Inputs!B8="First-time buyer",(IF(A153&lt;=500000,MAX(0,A153-300000)*0.05,(MAX(0,MIN(A153,250000)-125000)*0.02+MAX(0,MIN(A153,925000)-250000)*0.05+MAX(0,MIN(A153,1500000)-925000)*0.1+MAX(0,A153-1500000)*0.12))),(MAX(0,MIN(A153,250000)-125000)*0.02+MAX(0,MIN(A153,925000)-250000)*0.05+MAX(0,MIN(A153,1500000)-925000)*0.1+MAX(0,A153-1500000)*0.12)+IF(Inputs!B8="Additional / Investor",0.05*A153,0)+IF(Inputs!B9="Yes",0.02*A153,0))),IF(Inputs!B7="Scotland",((MAX(0,MIN(A153,250000)-145000)*0.02+MAX(0,MIN(A153,325000)-250000)*0.05+MAX(0,MIN(A153,750000)-325000)*0.1+MAX(0,A153-750000)*0.12)-IF(Inputs!B8="First-time buyer",(IF(A153&gt;145000,MIN(600,0.02*(MIN(A153,175000)-145000)),0)),0)+IF(Inputs!B8="Additional / Investor",0.08*A153,0)),IF(Inputs!B7="Wales",(IF(Inputs!B8="Additional / Investor",(MIN(A153,180000)*0.05+MAX(0,MIN(A153,250000)-180000)*0.085+MAX(0,MIN(A153,400000)-250000)*0.1+MAX(0,MIN(A153,750000)-400000)*0.125+MAX(0,MIN(A153,1500000)-750000)*0.15+MAX(0,A153-1500000)*0.17),(MAX(0,MIN(A153,400000)-225000)*0.06+MAX(0,MIN(A153,750000)-400000)*0.075+MAX(0,MIN(A153,1500000)-750000)*0.1+MAX(0,A153-1500000)*0.12))),0)))))+(Inputs!B14+Inputs!B15+Inputs!B16+Inputs!B17)+(Summary!B14)+(Summary!B15)+(((((A153)*Inputs!B20)+(IF(Inputs!B24="Yes",(Summary!B14)*Inputs!B25,0))*Inputs!B26)*Inputs!B21*Inputs!B10/12)+((((A153)*Inputs!B20)+(IF(Inputs!B24="Yes",(Summary!B14)*Inputs!B25,0)))*Inputs!B22)+((((A153)*Inputs!B20)+(IF(Inputs!B24="Yes",(Summary!B14)*Inputs!B25,0)))*Inputs!B23))+(Summary!B17)))</f>
        <v/>
      </c>
      <c r="C153" t="str">
        <f t="shared" si="4"/>
        <v/>
      </c>
    </row>
    <row r="154" spans="1:3" x14ac:dyDescent="0.2">
      <c r="A154" s="16">
        <f>$B$5+(143)*$B$7</f>
        <v>815000</v>
      </c>
      <c r="B154" s="16" t="str">
        <f>IF(A154&gt;$B$6,"",(Inputs!B6)-((A154)+(IF(Inputs!D13&lt;&gt;"",Inputs!D13,IF(Inputs!B7="England &amp; N. Ireland",(IF(Inputs!B8="First-time buyer",(IF(A154&lt;=500000,MAX(0,A154-300000)*0.05,(MAX(0,MIN(A154,250000)-125000)*0.02+MAX(0,MIN(A154,925000)-250000)*0.05+MAX(0,MIN(A154,1500000)-925000)*0.1+MAX(0,A154-1500000)*0.12))),(MAX(0,MIN(A154,250000)-125000)*0.02+MAX(0,MIN(A154,925000)-250000)*0.05+MAX(0,MIN(A154,1500000)-925000)*0.1+MAX(0,A154-1500000)*0.12)+IF(Inputs!B8="Additional / Investor",0.05*A154,0)+IF(Inputs!B9="Yes",0.02*A154,0))),IF(Inputs!B7="Scotland",((MAX(0,MIN(A154,250000)-145000)*0.02+MAX(0,MIN(A154,325000)-250000)*0.05+MAX(0,MIN(A154,750000)-325000)*0.1+MAX(0,A154-750000)*0.12)-IF(Inputs!B8="First-time buyer",(IF(A154&gt;145000,MIN(600,0.02*(MIN(A154,175000)-145000)),0)),0)+IF(Inputs!B8="Additional / Investor",0.08*A154,0)),IF(Inputs!B7="Wales",(IF(Inputs!B8="Additional / Investor",(MIN(A154,180000)*0.05+MAX(0,MIN(A154,250000)-180000)*0.085+MAX(0,MIN(A154,400000)-250000)*0.1+MAX(0,MIN(A154,750000)-400000)*0.125+MAX(0,MIN(A154,1500000)-750000)*0.15+MAX(0,A154-1500000)*0.17),(MAX(0,MIN(A154,400000)-225000)*0.06+MAX(0,MIN(A154,750000)-400000)*0.075+MAX(0,MIN(A154,1500000)-750000)*0.1+MAX(0,A154-1500000)*0.12))),0)))))+(Inputs!B14+Inputs!B15+Inputs!B16+Inputs!B17)+(Summary!B14)+(Summary!B15)+(((((A154)*Inputs!B20)+(IF(Inputs!B24="Yes",(Summary!B14)*Inputs!B25,0))*Inputs!B26)*Inputs!B21*Inputs!B10/12)+((((A154)*Inputs!B20)+(IF(Inputs!B24="Yes",(Summary!B14)*Inputs!B25,0)))*Inputs!B22)+((((A154)*Inputs!B20)+(IF(Inputs!B24="Yes",(Summary!B14)*Inputs!B25,0)))*Inputs!B23))+(Summary!B17)))</f>
        <v/>
      </c>
      <c r="C154" t="str">
        <f t="shared" si="4"/>
        <v/>
      </c>
    </row>
    <row r="155" spans="1:3" x14ac:dyDescent="0.2">
      <c r="A155" s="16">
        <f>$B$5+(144)*$B$7</f>
        <v>820000</v>
      </c>
      <c r="B155" s="16" t="str">
        <f>IF(A155&gt;$B$6,"",(Inputs!B6)-((A155)+(IF(Inputs!D13&lt;&gt;"",Inputs!D13,IF(Inputs!B7="England &amp; N. Ireland",(IF(Inputs!B8="First-time buyer",(IF(A155&lt;=500000,MAX(0,A155-300000)*0.05,(MAX(0,MIN(A155,250000)-125000)*0.02+MAX(0,MIN(A155,925000)-250000)*0.05+MAX(0,MIN(A155,1500000)-925000)*0.1+MAX(0,A155-1500000)*0.12))),(MAX(0,MIN(A155,250000)-125000)*0.02+MAX(0,MIN(A155,925000)-250000)*0.05+MAX(0,MIN(A155,1500000)-925000)*0.1+MAX(0,A155-1500000)*0.12)+IF(Inputs!B8="Additional / Investor",0.05*A155,0)+IF(Inputs!B9="Yes",0.02*A155,0))),IF(Inputs!B7="Scotland",((MAX(0,MIN(A155,250000)-145000)*0.02+MAX(0,MIN(A155,325000)-250000)*0.05+MAX(0,MIN(A155,750000)-325000)*0.1+MAX(0,A155-750000)*0.12)-IF(Inputs!B8="First-time buyer",(IF(A155&gt;145000,MIN(600,0.02*(MIN(A155,175000)-145000)),0)),0)+IF(Inputs!B8="Additional / Investor",0.08*A155,0)),IF(Inputs!B7="Wales",(IF(Inputs!B8="Additional / Investor",(MIN(A155,180000)*0.05+MAX(0,MIN(A155,250000)-180000)*0.085+MAX(0,MIN(A155,400000)-250000)*0.1+MAX(0,MIN(A155,750000)-400000)*0.125+MAX(0,MIN(A155,1500000)-750000)*0.15+MAX(0,A155-1500000)*0.17),(MAX(0,MIN(A155,400000)-225000)*0.06+MAX(0,MIN(A155,750000)-400000)*0.075+MAX(0,MIN(A155,1500000)-750000)*0.1+MAX(0,A155-1500000)*0.12))),0)))))+(Inputs!B14+Inputs!B15+Inputs!B16+Inputs!B17)+(Summary!B14)+(Summary!B15)+(((((A155)*Inputs!B20)+(IF(Inputs!B24="Yes",(Summary!B14)*Inputs!B25,0))*Inputs!B26)*Inputs!B21*Inputs!B10/12)+((((A155)*Inputs!B20)+(IF(Inputs!B24="Yes",(Summary!B14)*Inputs!B25,0)))*Inputs!B22)+((((A155)*Inputs!B20)+(IF(Inputs!B24="Yes",(Summary!B14)*Inputs!B25,0)))*Inputs!B23))+(Summary!B17)))</f>
        <v/>
      </c>
      <c r="C155" t="str">
        <f t="shared" si="4"/>
        <v/>
      </c>
    </row>
    <row r="156" spans="1:3" x14ac:dyDescent="0.2">
      <c r="A156" s="16">
        <f>$B$5+(145)*$B$7</f>
        <v>825000</v>
      </c>
      <c r="B156" s="16" t="str">
        <f>IF(A156&gt;$B$6,"",(Inputs!B6)-((A156)+(IF(Inputs!D13&lt;&gt;"",Inputs!D13,IF(Inputs!B7="England &amp; N. Ireland",(IF(Inputs!B8="First-time buyer",(IF(A156&lt;=500000,MAX(0,A156-300000)*0.05,(MAX(0,MIN(A156,250000)-125000)*0.02+MAX(0,MIN(A156,925000)-250000)*0.05+MAX(0,MIN(A156,1500000)-925000)*0.1+MAX(0,A156-1500000)*0.12))),(MAX(0,MIN(A156,250000)-125000)*0.02+MAX(0,MIN(A156,925000)-250000)*0.05+MAX(0,MIN(A156,1500000)-925000)*0.1+MAX(0,A156-1500000)*0.12)+IF(Inputs!B8="Additional / Investor",0.05*A156,0)+IF(Inputs!B9="Yes",0.02*A156,0))),IF(Inputs!B7="Scotland",((MAX(0,MIN(A156,250000)-145000)*0.02+MAX(0,MIN(A156,325000)-250000)*0.05+MAX(0,MIN(A156,750000)-325000)*0.1+MAX(0,A156-750000)*0.12)-IF(Inputs!B8="First-time buyer",(IF(A156&gt;145000,MIN(600,0.02*(MIN(A156,175000)-145000)),0)),0)+IF(Inputs!B8="Additional / Investor",0.08*A156,0)),IF(Inputs!B7="Wales",(IF(Inputs!B8="Additional / Investor",(MIN(A156,180000)*0.05+MAX(0,MIN(A156,250000)-180000)*0.085+MAX(0,MIN(A156,400000)-250000)*0.1+MAX(0,MIN(A156,750000)-400000)*0.125+MAX(0,MIN(A156,1500000)-750000)*0.15+MAX(0,A156-1500000)*0.17),(MAX(0,MIN(A156,400000)-225000)*0.06+MAX(0,MIN(A156,750000)-400000)*0.075+MAX(0,MIN(A156,1500000)-750000)*0.1+MAX(0,A156-1500000)*0.12))),0)))))+(Inputs!B14+Inputs!B15+Inputs!B16+Inputs!B17)+(Summary!B14)+(Summary!B15)+(((((A156)*Inputs!B20)+(IF(Inputs!B24="Yes",(Summary!B14)*Inputs!B25,0))*Inputs!B26)*Inputs!B21*Inputs!B10/12)+((((A156)*Inputs!B20)+(IF(Inputs!B24="Yes",(Summary!B14)*Inputs!B25,0)))*Inputs!B22)+((((A156)*Inputs!B20)+(IF(Inputs!B24="Yes",(Summary!B14)*Inputs!B25,0)))*Inputs!B23))+(Summary!B17)))</f>
        <v/>
      </c>
      <c r="C156" t="str">
        <f t="shared" si="4"/>
        <v/>
      </c>
    </row>
    <row r="157" spans="1:3" x14ac:dyDescent="0.2">
      <c r="A157" s="16">
        <f>$B$5+(146)*$B$7</f>
        <v>830000</v>
      </c>
      <c r="B157" s="16" t="str">
        <f>IF(A157&gt;$B$6,"",(Inputs!B6)-((A157)+(IF(Inputs!D13&lt;&gt;"",Inputs!D13,IF(Inputs!B7="England &amp; N. Ireland",(IF(Inputs!B8="First-time buyer",(IF(A157&lt;=500000,MAX(0,A157-300000)*0.05,(MAX(0,MIN(A157,250000)-125000)*0.02+MAX(0,MIN(A157,925000)-250000)*0.05+MAX(0,MIN(A157,1500000)-925000)*0.1+MAX(0,A157-1500000)*0.12))),(MAX(0,MIN(A157,250000)-125000)*0.02+MAX(0,MIN(A157,925000)-250000)*0.05+MAX(0,MIN(A157,1500000)-925000)*0.1+MAX(0,A157-1500000)*0.12)+IF(Inputs!B8="Additional / Investor",0.05*A157,0)+IF(Inputs!B9="Yes",0.02*A157,0))),IF(Inputs!B7="Scotland",((MAX(0,MIN(A157,250000)-145000)*0.02+MAX(0,MIN(A157,325000)-250000)*0.05+MAX(0,MIN(A157,750000)-325000)*0.1+MAX(0,A157-750000)*0.12)-IF(Inputs!B8="First-time buyer",(IF(A157&gt;145000,MIN(600,0.02*(MIN(A157,175000)-145000)),0)),0)+IF(Inputs!B8="Additional / Investor",0.08*A157,0)),IF(Inputs!B7="Wales",(IF(Inputs!B8="Additional / Investor",(MIN(A157,180000)*0.05+MAX(0,MIN(A157,250000)-180000)*0.085+MAX(0,MIN(A157,400000)-250000)*0.1+MAX(0,MIN(A157,750000)-400000)*0.125+MAX(0,MIN(A157,1500000)-750000)*0.15+MAX(0,A157-1500000)*0.17),(MAX(0,MIN(A157,400000)-225000)*0.06+MAX(0,MIN(A157,750000)-400000)*0.075+MAX(0,MIN(A157,1500000)-750000)*0.1+MAX(0,A157-1500000)*0.12))),0)))))+(Inputs!B14+Inputs!B15+Inputs!B16+Inputs!B17)+(Summary!B14)+(Summary!B15)+(((((A157)*Inputs!B20)+(IF(Inputs!B24="Yes",(Summary!B14)*Inputs!B25,0))*Inputs!B26)*Inputs!B21*Inputs!B10/12)+((((A157)*Inputs!B20)+(IF(Inputs!B24="Yes",(Summary!B14)*Inputs!B25,0)))*Inputs!B22)+((((A157)*Inputs!B20)+(IF(Inputs!B24="Yes",(Summary!B14)*Inputs!B25,0)))*Inputs!B23))+(Summary!B17)))</f>
        <v/>
      </c>
      <c r="C157" t="str">
        <f t="shared" si="4"/>
        <v/>
      </c>
    </row>
    <row r="158" spans="1:3" x14ac:dyDescent="0.2">
      <c r="A158" s="16">
        <f>$B$5+(147)*$B$7</f>
        <v>835000</v>
      </c>
      <c r="B158" s="16" t="str">
        <f>IF(A158&gt;$B$6,"",(Inputs!B6)-((A158)+(IF(Inputs!D13&lt;&gt;"",Inputs!D13,IF(Inputs!B7="England &amp; N. Ireland",(IF(Inputs!B8="First-time buyer",(IF(A158&lt;=500000,MAX(0,A158-300000)*0.05,(MAX(0,MIN(A158,250000)-125000)*0.02+MAX(0,MIN(A158,925000)-250000)*0.05+MAX(0,MIN(A158,1500000)-925000)*0.1+MAX(0,A158-1500000)*0.12))),(MAX(0,MIN(A158,250000)-125000)*0.02+MAX(0,MIN(A158,925000)-250000)*0.05+MAX(0,MIN(A158,1500000)-925000)*0.1+MAX(0,A158-1500000)*0.12)+IF(Inputs!B8="Additional / Investor",0.05*A158,0)+IF(Inputs!B9="Yes",0.02*A158,0))),IF(Inputs!B7="Scotland",((MAX(0,MIN(A158,250000)-145000)*0.02+MAX(0,MIN(A158,325000)-250000)*0.05+MAX(0,MIN(A158,750000)-325000)*0.1+MAX(0,A158-750000)*0.12)-IF(Inputs!B8="First-time buyer",(IF(A158&gt;145000,MIN(600,0.02*(MIN(A158,175000)-145000)),0)),0)+IF(Inputs!B8="Additional / Investor",0.08*A158,0)),IF(Inputs!B7="Wales",(IF(Inputs!B8="Additional / Investor",(MIN(A158,180000)*0.05+MAX(0,MIN(A158,250000)-180000)*0.085+MAX(0,MIN(A158,400000)-250000)*0.1+MAX(0,MIN(A158,750000)-400000)*0.125+MAX(0,MIN(A158,1500000)-750000)*0.15+MAX(0,A158-1500000)*0.17),(MAX(0,MIN(A158,400000)-225000)*0.06+MAX(0,MIN(A158,750000)-400000)*0.075+MAX(0,MIN(A158,1500000)-750000)*0.1+MAX(0,A158-1500000)*0.12))),0)))))+(Inputs!B14+Inputs!B15+Inputs!B16+Inputs!B17)+(Summary!B14)+(Summary!B15)+(((((A158)*Inputs!B20)+(IF(Inputs!B24="Yes",(Summary!B14)*Inputs!B25,0))*Inputs!B26)*Inputs!B21*Inputs!B10/12)+((((A158)*Inputs!B20)+(IF(Inputs!B24="Yes",(Summary!B14)*Inputs!B25,0)))*Inputs!B22)+((((A158)*Inputs!B20)+(IF(Inputs!B24="Yes",(Summary!B14)*Inputs!B25,0)))*Inputs!B23))+(Summary!B17)))</f>
        <v/>
      </c>
      <c r="C158" t="str">
        <f t="shared" si="4"/>
        <v/>
      </c>
    </row>
    <row r="159" spans="1:3" x14ac:dyDescent="0.2">
      <c r="A159" s="16">
        <f>$B$5+(148)*$B$7</f>
        <v>840000</v>
      </c>
      <c r="B159" s="16" t="str">
        <f>IF(A159&gt;$B$6,"",(Inputs!B6)-((A159)+(IF(Inputs!D13&lt;&gt;"",Inputs!D13,IF(Inputs!B7="England &amp; N. Ireland",(IF(Inputs!B8="First-time buyer",(IF(A159&lt;=500000,MAX(0,A159-300000)*0.05,(MAX(0,MIN(A159,250000)-125000)*0.02+MAX(0,MIN(A159,925000)-250000)*0.05+MAX(0,MIN(A159,1500000)-925000)*0.1+MAX(0,A159-1500000)*0.12))),(MAX(0,MIN(A159,250000)-125000)*0.02+MAX(0,MIN(A159,925000)-250000)*0.05+MAX(0,MIN(A159,1500000)-925000)*0.1+MAX(0,A159-1500000)*0.12)+IF(Inputs!B8="Additional / Investor",0.05*A159,0)+IF(Inputs!B9="Yes",0.02*A159,0))),IF(Inputs!B7="Scotland",((MAX(0,MIN(A159,250000)-145000)*0.02+MAX(0,MIN(A159,325000)-250000)*0.05+MAX(0,MIN(A159,750000)-325000)*0.1+MAX(0,A159-750000)*0.12)-IF(Inputs!B8="First-time buyer",(IF(A159&gt;145000,MIN(600,0.02*(MIN(A159,175000)-145000)),0)),0)+IF(Inputs!B8="Additional / Investor",0.08*A159,0)),IF(Inputs!B7="Wales",(IF(Inputs!B8="Additional / Investor",(MIN(A159,180000)*0.05+MAX(0,MIN(A159,250000)-180000)*0.085+MAX(0,MIN(A159,400000)-250000)*0.1+MAX(0,MIN(A159,750000)-400000)*0.125+MAX(0,MIN(A159,1500000)-750000)*0.15+MAX(0,A159-1500000)*0.17),(MAX(0,MIN(A159,400000)-225000)*0.06+MAX(0,MIN(A159,750000)-400000)*0.075+MAX(0,MIN(A159,1500000)-750000)*0.1+MAX(0,A159-1500000)*0.12))),0)))))+(Inputs!B14+Inputs!B15+Inputs!B16+Inputs!B17)+(Summary!B14)+(Summary!B15)+(((((A159)*Inputs!B20)+(IF(Inputs!B24="Yes",(Summary!B14)*Inputs!B25,0))*Inputs!B26)*Inputs!B21*Inputs!B10/12)+((((A159)*Inputs!B20)+(IF(Inputs!B24="Yes",(Summary!B14)*Inputs!B25,0)))*Inputs!B22)+((((A159)*Inputs!B20)+(IF(Inputs!B24="Yes",(Summary!B14)*Inputs!B25,0)))*Inputs!B23))+(Summary!B17)))</f>
        <v/>
      </c>
      <c r="C159" t="str">
        <f t="shared" si="4"/>
        <v/>
      </c>
    </row>
    <row r="160" spans="1:3" x14ac:dyDescent="0.2">
      <c r="A160" s="16">
        <f>$B$5+(149)*$B$7</f>
        <v>845000</v>
      </c>
      <c r="B160" s="16" t="str">
        <f>IF(A160&gt;$B$6,"",(Inputs!B6)-((A160)+(IF(Inputs!D13&lt;&gt;"",Inputs!D13,IF(Inputs!B7="England &amp; N. Ireland",(IF(Inputs!B8="First-time buyer",(IF(A160&lt;=500000,MAX(0,A160-300000)*0.05,(MAX(0,MIN(A160,250000)-125000)*0.02+MAX(0,MIN(A160,925000)-250000)*0.05+MAX(0,MIN(A160,1500000)-925000)*0.1+MAX(0,A160-1500000)*0.12))),(MAX(0,MIN(A160,250000)-125000)*0.02+MAX(0,MIN(A160,925000)-250000)*0.05+MAX(0,MIN(A160,1500000)-925000)*0.1+MAX(0,A160-1500000)*0.12)+IF(Inputs!B8="Additional / Investor",0.05*A160,0)+IF(Inputs!B9="Yes",0.02*A160,0))),IF(Inputs!B7="Scotland",((MAX(0,MIN(A160,250000)-145000)*0.02+MAX(0,MIN(A160,325000)-250000)*0.05+MAX(0,MIN(A160,750000)-325000)*0.1+MAX(0,A160-750000)*0.12)-IF(Inputs!B8="First-time buyer",(IF(A160&gt;145000,MIN(600,0.02*(MIN(A160,175000)-145000)),0)),0)+IF(Inputs!B8="Additional / Investor",0.08*A160,0)),IF(Inputs!B7="Wales",(IF(Inputs!B8="Additional / Investor",(MIN(A160,180000)*0.05+MAX(0,MIN(A160,250000)-180000)*0.085+MAX(0,MIN(A160,400000)-250000)*0.1+MAX(0,MIN(A160,750000)-400000)*0.125+MAX(0,MIN(A160,1500000)-750000)*0.15+MAX(0,A160-1500000)*0.17),(MAX(0,MIN(A160,400000)-225000)*0.06+MAX(0,MIN(A160,750000)-400000)*0.075+MAX(0,MIN(A160,1500000)-750000)*0.1+MAX(0,A160-1500000)*0.12))),0)))))+(Inputs!B14+Inputs!B15+Inputs!B16+Inputs!B17)+(Summary!B14)+(Summary!B15)+(((((A160)*Inputs!B20)+(IF(Inputs!B24="Yes",(Summary!B14)*Inputs!B25,0))*Inputs!B26)*Inputs!B21*Inputs!B10/12)+((((A160)*Inputs!B20)+(IF(Inputs!B24="Yes",(Summary!B14)*Inputs!B25,0)))*Inputs!B22)+((((A160)*Inputs!B20)+(IF(Inputs!B24="Yes",(Summary!B14)*Inputs!B25,0)))*Inputs!B23))+(Summary!B17)))</f>
        <v/>
      </c>
      <c r="C160" t="str">
        <f t="shared" si="4"/>
        <v/>
      </c>
    </row>
    <row r="161" spans="1:3" x14ac:dyDescent="0.2">
      <c r="A161" s="16">
        <f>$B$5+(150)*$B$7</f>
        <v>850000</v>
      </c>
      <c r="B161" s="16" t="str">
        <f>IF(A161&gt;$B$6,"",(Inputs!B6)-((A161)+(IF(Inputs!D13&lt;&gt;"",Inputs!D13,IF(Inputs!B7="England &amp; N. Ireland",(IF(Inputs!B8="First-time buyer",(IF(A161&lt;=500000,MAX(0,A161-300000)*0.05,(MAX(0,MIN(A161,250000)-125000)*0.02+MAX(0,MIN(A161,925000)-250000)*0.05+MAX(0,MIN(A161,1500000)-925000)*0.1+MAX(0,A161-1500000)*0.12))),(MAX(0,MIN(A161,250000)-125000)*0.02+MAX(0,MIN(A161,925000)-250000)*0.05+MAX(0,MIN(A161,1500000)-925000)*0.1+MAX(0,A161-1500000)*0.12)+IF(Inputs!B8="Additional / Investor",0.05*A161,0)+IF(Inputs!B9="Yes",0.02*A161,0))),IF(Inputs!B7="Scotland",((MAX(0,MIN(A161,250000)-145000)*0.02+MAX(0,MIN(A161,325000)-250000)*0.05+MAX(0,MIN(A161,750000)-325000)*0.1+MAX(0,A161-750000)*0.12)-IF(Inputs!B8="First-time buyer",(IF(A161&gt;145000,MIN(600,0.02*(MIN(A161,175000)-145000)),0)),0)+IF(Inputs!B8="Additional / Investor",0.08*A161,0)),IF(Inputs!B7="Wales",(IF(Inputs!B8="Additional / Investor",(MIN(A161,180000)*0.05+MAX(0,MIN(A161,250000)-180000)*0.085+MAX(0,MIN(A161,400000)-250000)*0.1+MAX(0,MIN(A161,750000)-400000)*0.125+MAX(0,MIN(A161,1500000)-750000)*0.15+MAX(0,A161-1500000)*0.17),(MAX(0,MIN(A161,400000)-225000)*0.06+MAX(0,MIN(A161,750000)-400000)*0.075+MAX(0,MIN(A161,1500000)-750000)*0.1+MAX(0,A161-1500000)*0.12))),0)))))+(Inputs!B14+Inputs!B15+Inputs!B16+Inputs!B17)+(Summary!B14)+(Summary!B15)+(((((A161)*Inputs!B20)+(IF(Inputs!B24="Yes",(Summary!B14)*Inputs!B25,0))*Inputs!B26)*Inputs!B21*Inputs!B10/12)+((((A161)*Inputs!B20)+(IF(Inputs!B24="Yes",(Summary!B14)*Inputs!B25,0)))*Inputs!B22)+((((A161)*Inputs!B20)+(IF(Inputs!B24="Yes",(Summary!B14)*Inputs!B25,0)))*Inputs!B23))+(Summary!B17)))</f>
        <v/>
      </c>
      <c r="C161" t="str">
        <f t="shared" si="4"/>
        <v/>
      </c>
    </row>
    <row r="162" spans="1:3" x14ac:dyDescent="0.2">
      <c r="A162" s="16">
        <f>$B$5+(151)*$B$7</f>
        <v>855000</v>
      </c>
      <c r="B162" s="16" t="str">
        <f>IF(A162&gt;$B$6,"",(Inputs!B6)-((A162)+(IF(Inputs!D13&lt;&gt;"",Inputs!D13,IF(Inputs!B7="England &amp; N. Ireland",(IF(Inputs!B8="First-time buyer",(IF(A162&lt;=500000,MAX(0,A162-300000)*0.05,(MAX(0,MIN(A162,250000)-125000)*0.02+MAX(0,MIN(A162,925000)-250000)*0.05+MAX(0,MIN(A162,1500000)-925000)*0.1+MAX(0,A162-1500000)*0.12))),(MAX(0,MIN(A162,250000)-125000)*0.02+MAX(0,MIN(A162,925000)-250000)*0.05+MAX(0,MIN(A162,1500000)-925000)*0.1+MAX(0,A162-1500000)*0.12)+IF(Inputs!B8="Additional / Investor",0.05*A162,0)+IF(Inputs!B9="Yes",0.02*A162,0))),IF(Inputs!B7="Scotland",((MAX(0,MIN(A162,250000)-145000)*0.02+MAX(0,MIN(A162,325000)-250000)*0.05+MAX(0,MIN(A162,750000)-325000)*0.1+MAX(0,A162-750000)*0.12)-IF(Inputs!B8="First-time buyer",(IF(A162&gt;145000,MIN(600,0.02*(MIN(A162,175000)-145000)),0)),0)+IF(Inputs!B8="Additional / Investor",0.08*A162,0)),IF(Inputs!B7="Wales",(IF(Inputs!B8="Additional / Investor",(MIN(A162,180000)*0.05+MAX(0,MIN(A162,250000)-180000)*0.085+MAX(0,MIN(A162,400000)-250000)*0.1+MAX(0,MIN(A162,750000)-400000)*0.125+MAX(0,MIN(A162,1500000)-750000)*0.15+MAX(0,A162-1500000)*0.17),(MAX(0,MIN(A162,400000)-225000)*0.06+MAX(0,MIN(A162,750000)-400000)*0.075+MAX(0,MIN(A162,1500000)-750000)*0.1+MAX(0,A162-1500000)*0.12))),0)))))+(Inputs!B14+Inputs!B15+Inputs!B16+Inputs!B17)+(Summary!B14)+(Summary!B15)+(((((A162)*Inputs!B20)+(IF(Inputs!B24="Yes",(Summary!B14)*Inputs!B25,0))*Inputs!B26)*Inputs!B21*Inputs!B10/12)+((((A162)*Inputs!B20)+(IF(Inputs!B24="Yes",(Summary!B14)*Inputs!B25,0)))*Inputs!B22)+((((A162)*Inputs!B20)+(IF(Inputs!B24="Yes",(Summary!B14)*Inputs!B25,0)))*Inputs!B23))+(Summary!B17)))</f>
        <v/>
      </c>
      <c r="C162" t="str">
        <f t="shared" si="4"/>
        <v/>
      </c>
    </row>
    <row r="163" spans="1:3" x14ac:dyDescent="0.2">
      <c r="A163" s="16">
        <f>$B$5+(152)*$B$7</f>
        <v>860000</v>
      </c>
      <c r="B163" s="16" t="str">
        <f>IF(A163&gt;$B$6,"",(Inputs!B6)-((A163)+(IF(Inputs!D13&lt;&gt;"",Inputs!D13,IF(Inputs!B7="England &amp; N. Ireland",(IF(Inputs!B8="First-time buyer",(IF(A163&lt;=500000,MAX(0,A163-300000)*0.05,(MAX(0,MIN(A163,250000)-125000)*0.02+MAX(0,MIN(A163,925000)-250000)*0.05+MAX(0,MIN(A163,1500000)-925000)*0.1+MAX(0,A163-1500000)*0.12))),(MAX(0,MIN(A163,250000)-125000)*0.02+MAX(0,MIN(A163,925000)-250000)*0.05+MAX(0,MIN(A163,1500000)-925000)*0.1+MAX(0,A163-1500000)*0.12)+IF(Inputs!B8="Additional / Investor",0.05*A163,0)+IF(Inputs!B9="Yes",0.02*A163,0))),IF(Inputs!B7="Scotland",((MAX(0,MIN(A163,250000)-145000)*0.02+MAX(0,MIN(A163,325000)-250000)*0.05+MAX(0,MIN(A163,750000)-325000)*0.1+MAX(0,A163-750000)*0.12)-IF(Inputs!B8="First-time buyer",(IF(A163&gt;145000,MIN(600,0.02*(MIN(A163,175000)-145000)),0)),0)+IF(Inputs!B8="Additional / Investor",0.08*A163,0)),IF(Inputs!B7="Wales",(IF(Inputs!B8="Additional / Investor",(MIN(A163,180000)*0.05+MAX(0,MIN(A163,250000)-180000)*0.085+MAX(0,MIN(A163,400000)-250000)*0.1+MAX(0,MIN(A163,750000)-400000)*0.125+MAX(0,MIN(A163,1500000)-750000)*0.15+MAX(0,A163-1500000)*0.17),(MAX(0,MIN(A163,400000)-225000)*0.06+MAX(0,MIN(A163,750000)-400000)*0.075+MAX(0,MIN(A163,1500000)-750000)*0.1+MAX(0,A163-1500000)*0.12))),0)))))+(Inputs!B14+Inputs!B15+Inputs!B16+Inputs!B17)+(Summary!B14)+(Summary!B15)+(((((A163)*Inputs!B20)+(IF(Inputs!B24="Yes",(Summary!B14)*Inputs!B25,0))*Inputs!B26)*Inputs!B21*Inputs!B10/12)+((((A163)*Inputs!B20)+(IF(Inputs!B24="Yes",(Summary!B14)*Inputs!B25,0)))*Inputs!B22)+((((A163)*Inputs!B20)+(IF(Inputs!B24="Yes",(Summary!B14)*Inputs!B25,0)))*Inputs!B23))+(Summary!B17)))</f>
        <v/>
      </c>
      <c r="C163" t="str">
        <f t="shared" si="4"/>
        <v/>
      </c>
    </row>
    <row r="164" spans="1:3" x14ac:dyDescent="0.2">
      <c r="A164" s="16">
        <f>$B$5+(153)*$B$7</f>
        <v>865000</v>
      </c>
      <c r="B164" s="16" t="str">
        <f>IF(A164&gt;$B$6,"",(Inputs!B6)-((A164)+(IF(Inputs!D13&lt;&gt;"",Inputs!D13,IF(Inputs!B7="England &amp; N. Ireland",(IF(Inputs!B8="First-time buyer",(IF(A164&lt;=500000,MAX(0,A164-300000)*0.05,(MAX(0,MIN(A164,250000)-125000)*0.02+MAX(0,MIN(A164,925000)-250000)*0.05+MAX(0,MIN(A164,1500000)-925000)*0.1+MAX(0,A164-1500000)*0.12))),(MAX(0,MIN(A164,250000)-125000)*0.02+MAX(0,MIN(A164,925000)-250000)*0.05+MAX(0,MIN(A164,1500000)-925000)*0.1+MAX(0,A164-1500000)*0.12)+IF(Inputs!B8="Additional / Investor",0.05*A164,0)+IF(Inputs!B9="Yes",0.02*A164,0))),IF(Inputs!B7="Scotland",((MAX(0,MIN(A164,250000)-145000)*0.02+MAX(0,MIN(A164,325000)-250000)*0.05+MAX(0,MIN(A164,750000)-325000)*0.1+MAX(0,A164-750000)*0.12)-IF(Inputs!B8="First-time buyer",(IF(A164&gt;145000,MIN(600,0.02*(MIN(A164,175000)-145000)),0)),0)+IF(Inputs!B8="Additional / Investor",0.08*A164,0)),IF(Inputs!B7="Wales",(IF(Inputs!B8="Additional / Investor",(MIN(A164,180000)*0.05+MAX(0,MIN(A164,250000)-180000)*0.085+MAX(0,MIN(A164,400000)-250000)*0.1+MAX(0,MIN(A164,750000)-400000)*0.125+MAX(0,MIN(A164,1500000)-750000)*0.15+MAX(0,A164-1500000)*0.17),(MAX(0,MIN(A164,400000)-225000)*0.06+MAX(0,MIN(A164,750000)-400000)*0.075+MAX(0,MIN(A164,1500000)-750000)*0.1+MAX(0,A164-1500000)*0.12))),0)))))+(Inputs!B14+Inputs!B15+Inputs!B16+Inputs!B17)+(Summary!B14)+(Summary!B15)+(((((A164)*Inputs!B20)+(IF(Inputs!B24="Yes",(Summary!B14)*Inputs!B25,0))*Inputs!B26)*Inputs!B21*Inputs!B10/12)+((((A164)*Inputs!B20)+(IF(Inputs!B24="Yes",(Summary!B14)*Inputs!B25,0)))*Inputs!B22)+((((A164)*Inputs!B20)+(IF(Inputs!B24="Yes",(Summary!B14)*Inputs!B25,0)))*Inputs!B23))+(Summary!B17)))</f>
        <v/>
      </c>
      <c r="C164" t="str">
        <f t="shared" si="4"/>
        <v/>
      </c>
    </row>
    <row r="165" spans="1:3" x14ac:dyDescent="0.2">
      <c r="A165" s="16">
        <f>$B$5+(154)*$B$7</f>
        <v>870000</v>
      </c>
      <c r="B165" s="16" t="str">
        <f>IF(A165&gt;$B$6,"",(Inputs!B6)-((A165)+(IF(Inputs!D13&lt;&gt;"",Inputs!D13,IF(Inputs!B7="England &amp; N. Ireland",(IF(Inputs!B8="First-time buyer",(IF(A165&lt;=500000,MAX(0,A165-300000)*0.05,(MAX(0,MIN(A165,250000)-125000)*0.02+MAX(0,MIN(A165,925000)-250000)*0.05+MAX(0,MIN(A165,1500000)-925000)*0.1+MAX(0,A165-1500000)*0.12))),(MAX(0,MIN(A165,250000)-125000)*0.02+MAX(0,MIN(A165,925000)-250000)*0.05+MAX(0,MIN(A165,1500000)-925000)*0.1+MAX(0,A165-1500000)*0.12)+IF(Inputs!B8="Additional / Investor",0.05*A165,0)+IF(Inputs!B9="Yes",0.02*A165,0))),IF(Inputs!B7="Scotland",((MAX(0,MIN(A165,250000)-145000)*0.02+MAX(0,MIN(A165,325000)-250000)*0.05+MAX(0,MIN(A165,750000)-325000)*0.1+MAX(0,A165-750000)*0.12)-IF(Inputs!B8="First-time buyer",(IF(A165&gt;145000,MIN(600,0.02*(MIN(A165,175000)-145000)),0)),0)+IF(Inputs!B8="Additional / Investor",0.08*A165,0)),IF(Inputs!B7="Wales",(IF(Inputs!B8="Additional / Investor",(MIN(A165,180000)*0.05+MAX(0,MIN(A165,250000)-180000)*0.085+MAX(0,MIN(A165,400000)-250000)*0.1+MAX(0,MIN(A165,750000)-400000)*0.125+MAX(0,MIN(A165,1500000)-750000)*0.15+MAX(0,A165-1500000)*0.17),(MAX(0,MIN(A165,400000)-225000)*0.06+MAX(0,MIN(A165,750000)-400000)*0.075+MAX(0,MIN(A165,1500000)-750000)*0.1+MAX(0,A165-1500000)*0.12))),0)))))+(Inputs!B14+Inputs!B15+Inputs!B16+Inputs!B17)+(Summary!B14)+(Summary!B15)+(((((A165)*Inputs!B20)+(IF(Inputs!B24="Yes",(Summary!B14)*Inputs!B25,0))*Inputs!B26)*Inputs!B21*Inputs!B10/12)+((((A165)*Inputs!B20)+(IF(Inputs!B24="Yes",(Summary!B14)*Inputs!B25,0)))*Inputs!B22)+((((A165)*Inputs!B20)+(IF(Inputs!B24="Yes",(Summary!B14)*Inputs!B25,0)))*Inputs!B23))+(Summary!B17)))</f>
        <v/>
      </c>
      <c r="C165" t="str">
        <f t="shared" si="4"/>
        <v/>
      </c>
    </row>
    <row r="166" spans="1:3" x14ac:dyDescent="0.2">
      <c r="A166" s="16">
        <f>$B$5+(155)*$B$7</f>
        <v>875000</v>
      </c>
      <c r="B166" s="16" t="str">
        <f>IF(A166&gt;$B$6,"",(Inputs!B6)-((A166)+(IF(Inputs!D13&lt;&gt;"",Inputs!D13,IF(Inputs!B7="England &amp; N. Ireland",(IF(Inputs!B8="First-time buyer",(IF(A166&lt;=500000,MAX(0,A166-300000)*0.05,(MAX(0,MIN(A166,250000)-125000)*0.02+MAX(0,MIN(A166,925000)-250000)*0.05+MAX(0,MIN(A166,1500000)-925000)*0.1+MAX(0,A166-1500000)*0.12))),(MAX(0,MIN(A166,250000)-125000)*0.02+MAX(0,MIN(A166,925000)-250000)*0.05+MAX(0,MIN(A166,1500000)-925000)*0.1+MAX(0,A166-1500000)*0.12)+IF(Inputs!B8="Additional / Investor",0.05*A166,0)+IF(Inputs!B9="Yes",0.02*A166,0))),IF(Inputs!B7="Scotland",((MAX(0,MIN(A166,250000)-145000)*0.02+MAX(0,MIN(A166,325000)-250000)*0.05+MAX(0,MIN(A166,750000)-325000)*0.1+MAX(0,A166-750000)*0.12)-IF(Inputs!B8="First-time buyer",(IF(A166&gt;145000,MIN(600,0.02*(MIN(A166,175000)-145000)),0)),0)+IF(Inputs!B8="Additional / Investor",0.08*A166,0)),IF(Inputs!B7="Wales",(IF(Inputs!B8="Additional / Investor",(MIN(A166,180000)*0.05+MAX(0,MIN(A166,250000)-180000)*0.085+MAX(0,MIN(A166,400000)-250000)*0.1+MAX(0,MIN(A166,750000)-400000)*0.125+MAX(0,MIN(A166,1500000)-750000)*0.15+MAX(0,A166-1500000)*0.17),(MAX(0,MIN(A166,400000)-225000)*0.06+MAX(0,MIN(A166,750000)-400000)*0.075+MAX(0,MIN(A166,1500000)-750000)*0.1+MAX(0,A166-1500000)*0.12))),0)))))+(Inputs!B14+Inputs!B15+Inputs!B16+Inputs!B17)+(Summary!B14)+(Summary!B15)+(((((A166)*Inputs!B20)+(IF(Inputs!B24="Yes",(Summary!B14)*Inputs!B25,0))*Inputs!B26)*Inputs!B21*Inputs!B10/12)+((((A166)*Inputs!B20)+(IF(Inputs!B24="Yes",(Summary!B14)*Inputs!B25,0)))*Inputs!B22)+((((A166)*Inputs!B20)+(IF(Inputs!B24="Yes",(Summary!B14)*Inputs!B25,0)))*Inputs!B23))+(Summary!B17)))</f>
        <v/>
      </c>
      <c r="C166" t="str">
        <f t="shared" si="4"/>
        <v/>
      </c>
    </row>
    <row r="167" spans="1:3" x14ac:dyDescent="0.2">
      <c r="A167" s="16">
        <f>$B$5+(156)*$B$7</f>
        <v>880000</v>
      </c>
      <c r="B167" s="16" t="str">
        <f>IF(A167&gt;$B$6,"",(Inputs!B6)-((A167)+(IF(Inputs!D13&lt;&gt;"",Inputs!D13,IF(Inputs!B7="England &amp; N. Ireland",(IF(Inputs!B8="First-time buyer",(IF(A167&lt;=500000,MAX(0,A167-300000)*0.05,(MAX(0,MIN(A167,250000)-125000)*0.02+MAX(0,MIN(A167,925000)-250000)*0.05+MAX(0,MIN(A167,1500000)-925000)*0.1+MAX(0,A167-1500000)*0.12))),(MAX(0,MIN(A167,250000)-125000)*0.02+MAX(0,MIN(A167,925000)-250000)*0.05+MAX(0,MIN(A167,1500000)-925000)*0.1+MAX(0,A167-1500000)*0.12)+IF(Inputs!B8="Additional / Investor",0.05*A167,0)+IF(Inputs!B9="Yes",0.02*A167,0))),IF(Inputs!B7="Scotland",((MAX(0,MIN(A167,250000)-145000)*0.02+MAX(0,MIN(A167,325000)-250000)*0.05+MAX(0,MIN(A167,750000)-325000)*0.1+MAX(0,A167-750000)*0.12)-IF(Inputs!B8="First-time buyer",(IF(A167&gt;145000,MIN(600,0.02*(MIN(A167,175000)-145000)),0)),0)+IF(Inputs!B8="Additional / Investor",0.08*A167,0)),IF(Inputs!B7="Wales",(IF(Inputs!B8="Additional / Investor",(MIN(A167,180000)*0.05+MAX(0,MIN(A167,250000)-180000)*0.085+MAX(0,MIN(A167,400000)-250000)*0.1+MAX(0,MIN(A167,750000)-400000)*0.125+MAX(0,MIN(A167,1500000)-750000)*0.15+MAX(0,A167-1500000)*0.17),(MAX(0,MIN(A167,400000)-225000)*0.06+MAX(0,MIN(A167,750000)-400000)*0.075+MAX(0,MIN(A167,1500000)-750000)*0.1+MAX(0,A167-1500000)*0.12))),0)))))+(Inputs!B14+Inputs!B15+Inputs!B16+Inputs!B17)+(Summary!B14)+(Summary!B15)+(((((A167)*Inputs!B20)+(IF(Inputs!B24="Yes",(Summary!B14)*Inputs!B25,0))*Inputs!B26)*Inputs!B21*Inputs!B10/12)+((((A167)*Inputs!B20)+(IF(Inputs!B24="Yes",(Summary!B14)*Inputs!B25,0)))*Inputs!B22)+((((A167)*Inputs!B20)+(IF(Inputs!B24="Yes",(Summary!B14)*Inputs!B25,0)))*Inputs!B23))+(Summary!B17)))</f>
        <v/>
      </c>
      <c r="C167" t="str">
        <f t="shared" si="4"/>
        <v/>
      </c>
    </row>
    <row r="168" spans="1:3" x14ac:dyDescent="0.2">
      <c r="A168" s="16">
        <f>$B$5+(157)*$B$7</f>
        <v>885000</v>
      </c>
      <c r="B168" s="16" t="str">
        <f>IF(A168&gt;$B$6,"",(Inputs!B6)-((A168)+(IF(Inputs!D13&lt;&gt;"",Inputs!D13,IF(Inputs!B7="England &amp; N. Ireland",(IF(Inputs!B8="First-time buyer",(IF(A168&lt;=500000,MAX(0,A168-300000)*0.05,(MAX(0,MIN(A168,250000)-125000)*0.02+MAX(0,MIN(A168,925000)-250000)*0.05+MAX(0,MIN(A168,1500000)-925000)*0.1+MAX(0,A168-1500000)*0.12))),(MAX(0,MIN(A168,250000)-125000)*0.02+MAX(0,MIN(A168,925000)-250000)*0.05+MAX(0,MIN(A168,1500000)-925000)*0.1+MAX(0,A168-1500000)*0.12)+IF(Inputs!B8="Additional / Investor",0.05*A168,0)+IF(Inputs!B9="Yes",0.02*A168,0))),IF(Inputs!B7="Scotland",((MAX(0,MIN(A168,250000)-145000)*0.02+MAX(0,MIN(A168,325000)-250000)*0.05+MAX(0,MIN(A168,750000)-325000)*0.1+MAX(0,A168-750000)*0.12)-IF(Inputs!B8="First-time buyer",(IF(A168&gt;145000,MIN(600,0.02*(MIN(A168,175000)-145000)),0)),0)+IF(Inputs!B8="Additional / Investor",0.08*A168,0)),IF(Inputs!B7="Wales",(IF(Inputs!B8="Additional / Investor",(MIN(A168,180000)*0.05+MAX(0,MIN(A168,250000)-180000)*0.085+MAX(0,MIN(A168,400000)-250000)*0.1+MAX(0,MIN(A168,750000)-400000)*0.125+MAX(0,MIN(A168,1500000)-750000)*0.15+MAX(0,A168-1500000)*0.17),(MAX(0,MIN(A168,400000)-225000)*0.06+MAX(0,MIN(A168,750000)-400000)*0.075+MAX(0,MIN(A168,1500000)-750000)*0.1+MAX(0,A168-1500000)*0.12))),0)))))+(Inputs!B14+Inputs!B15+Inputs!B16+Inputs!B17)+(Summary!B14)+(Summary!B15)+(((((A168)*Inputs!B20)+(IF(Inputs!B24="Yes",(Summary!B14)*Inputs!B25,0))*Inputs!B26)*Inputs!B21*Inputs!B10/12)+((((A168)*Inputs!B20)+(IF(Inputs!B24="Yes",(Summary!B14)*Inputs!B25,0)))*Inputs!B22)+((((A168)*Inputs!B20)+(IF(Inputs!B24="Yes",(Summary!B14)*Inputs!B25,0)))*Inputs!B23))+(Summary!B17)))</f>
        <v/>
      </c>
      <c r="C168" t="str">
        <f t="shared" si="4"/>
        <v/>
      </c>
    </row>
    <row r="169" spans="1:3" x14ac:dyDescent="0.2">
      <c r="A169" s="16">
        <f>$B$5+(158)*$B$7</f>
        <v>890000</v>
      </c>
      <c r="B169" s="16" t="str">
        <f>IF(A169&gt;$B$6,"",(Inputs!B6)-((A169)+(IF(Inputs!D13&lt;&gt;"",Inputs!D13,IF(Inputs!B7="England &amp; N. Ireland",(IF(Inputs!B8="First-time buyer",(IF(A169&lt;=500000,MAX(0,A169-300000)*0.05,(MAX(0,MIN(A169,250000)-125000)*0.02+MAX(0,MIN(A169,925000)-250000)*0.05+MAX(0,MIN(A169,1500000)-925000)*0.1+MAX(0,A169-1500000)*0.12))),(MAX(0,MIN(A169,250000)-125000)*0.02+MAX(0,MIN(A169,925000)-250000)*0.05+MAX(0,MIN(A169,1500000)-925000)*0.1+MAX(0,A169-1500000)*0.12)+IF(Inputs!B8="Additional / Investor",0.05*A169,0)+IF(Inputs!B9="Yes",0.02*A169,0))),IF(Inputs!B7="Scotland",((MAX(0,MIN(A169,250000)-145000)*0.02+MAX(0,MIN(A169,325000)-250000)*0.05+MAX(0,MIN(A169,750000)-325000)*0.1+MAX(0,A169-750000)*0.12)-IF(Inputs!B8="First-time buyer",(IF(A169&gt;145000,MIN(600,0.02*(MIN(A169,175000)-145000)),0)),0)+IF(Inputs!B8="Additional / Investor",0.08*A169,0)),IF(Inputs!B7="Wales",(IF(Inputs!B8="Additional / Investor",(MIN(A169,180000)*0.05+MAX(0,MIN(A169,250000)-180000)*0.085+MAX(0,MIN(A169,400000)-250000)*0.1+MAX(0,MIN(A169,750000)-400000)*0.125+MAX(0,MIN(A169,1500000)-750000)*0.15+MAX(0,A169-1500000)*0.17),(MAX(0,MIN(A169,400000)-225000)*0.06+MAX(0,MIN(A169,750000)-400000)*0.075+MAX(0,MIN(A169,1500000)-750000)*0.1+MAX(0,A169-1500000)*0.12))),0)))))+(Inputs!B14+Inputs!B15+Inputs!B16+Inputs!B17)+(Summary!B14)+(Summary!B15)+(((((A169)*Inputs!B20)+(IF(Inputs!B24="Yes",(Summary!B14)*Inputs!B25,0))*Inputs!B26)*Inputs!B21*Inputs!B10/12)+((((A169)*Inputs!B20)+(IF(Inputs!B24="Yes",(Summary!B14)*Inputs!B25,0)))*Inputs!B22)+((((A169)*Inputs!B20)+(IF(Inputs!B24="Yes",(Summary!B14)*Inputs!B25,0)))*Inputs!B23))+(Summary!B17)))</f>
        <v/>
      </c>
      <c r="C169" t="str">
        <f t="shared" si="4"/>
        <v/>
      </c>
    </row>
    <row r="170" spans="1:3" x14ac:dyDescent="0.2">
      <c r="A170" s="16">
        <f>$B$5+(159)*$B$7</f>
        <v>895000</v>
      </c>
      <c r="B170" s="16" t="str">
        <f>IF(A170&gt;$B$6,"",(Inputs!B6)-((A170)+(IF(Inputs!D13&lt;&gt;"",Inputs!D13,IF(Inputs!B7="England &amp; N. Ireland",(IF(Inputs!B8="First-time buyer",(IF(A170&lt;=500000,MAX(0,A170-300000)*0.05,(MAX(0,MIN(A170,250000)-125000)*0.02+MAX(0,MIN(A170,925000)-250000)*0.05+MAX(0,MIN(A170,1500000)-925000)*0.1+MAX(0,A170-1500000)*0.12))),(MAX(0,MIN(A170,250000)-125000)*0.02+MAX(0,MIN(A170,925000)-250000)*0.05+MAX(0,MIN(A170,1500000)-925000)*0.1+MAX(0,A170-1500000)*0.12)+IF(Inputs!B8="Additional / Investor",0.05*A170,0)+IF(Inputs!B9="Yes",0.02*A170,0))),IF(Inputs!B7="Scotland",((MAX(0,MIN(A170,250000)-145000)*0.02+MAX(0,MIN(A170,325000)-250000)*0.05+MAX(0,MIN(A170,750000)-325000)*0.1+MAX(0,A170-750000)*0.12)-IF(Inputs!B8="First-time buyer",(IF(A170&gt;145000,MIN(600,0.02*(MIN(A170,175000)-145000)),0)),0)+IF(Inputs!B8="Additional / Investor",0.08*A170,0)),IF(Inputs!B7="Wales",(IF(Inputs!B8="Additional / Investor",(MIN(A170,180000)*0.05+MAX(0,MIN(A170,250000)-180000)*0.085+MAX(0,MIN(A170,400000)-250000)*0.1+MAX(0,MIN(A170,750000)-400000)*0.125+MAX(0,MIN(A170,1500000)-750000)*0.15+MAX(0,A170-1500000)*0.17),(MAX(0,MIN(A170,400000)-225000)*0.06+MAX(0,MIN(A170,750000)-400000)*0.075+MAX(0,MIN(A170,1500000)-750000)*0.1+MAX(0,A170-1500000)*0.12))),0)))))+(Inputs!B14+Inputs!B15+Inputs!B16+Inputs!B17)+(Summary!B14)+(Summary!B15)+(((((A170)*Inputs!B20)+(IF(Inputs!B24="Yes",(Summary!B14)*Inputs!B25,0))*Inputs!B26)*Inputs!B21*Inputs!B10/12)+((((A170)*Inputs!B20)+(IF(Inputs!B24="Yes",(Summary!B14)*Inputs!B25,0)))*Inputs!B22)+((((A170)*Inputs!B20)+(IF(Inputs!B24="Yes",(Summary!B14)*Inputs!B25,0)))*Inputs!B23))+(Summary!B17)))</f>
        <v/>
      </c>
      <c r="C170" t="str">
        <f t="shared" si="4"/>
        <v/>
      </c>
    </row>
    <row r="171" spans="1:3" x14ac:dyDescent="0.2">
      <c r="A171" s="16">
        <f>$B$5+(160)*$B$7</f>
        <v>900000</v>
      </c>
      <c r="B171" s="16" t="str">
        <f>IF(A171&gt;$B$6,"",(Inputs!B6)-((A171)+(IF(Inputs!D13&lt;&gt;"",Inputs!D13,IF(Inputs!B7="England &amp; N. Ireland",(IF(Inputs!B8="First-time buyer",(IF(A171&lt;=500000,MAX(0,A171-300000)*0.05,(MAX(0,MIN(A171,250000)-125000)*0.02+MAX(0,MIN(A171,925000)-250000)*0.05+MAX(0,MIN(A171,1500000)-925000)*0.1+MAX(0,A171-1500000)*0.12))),(MAX(0,MIN(A171,250000)-125000)*0.02+MAX(0,MIN(A171,925000)-250000)*0.05+MAX(0,MIN(A171,1500000)-925000)*0.1+MAX(0,A171-1500000)*0.12)+IF(Inputs!B8="Additional / Investor",0.05*A171,0)+IF(Inputs!B9="Yes",0.02*A171,0))),IF(Inputs!B7="Scotland",((MAX(0,MIN(A171,250000)-145000)*0.02+MAX(0,MIN(A171,325000)-250000)*0.05+MAX(0,MIN(A171,750000)-325000)*0.1+MAX(0,A171-750000)*0.12)-IF(Inputs!B8="First-time buyer",(IF(A171&gt;145000,MIN(600,0.02*(MIN(A171,175000)-145000)),0)),0)+IF(Inputs!B8="Additional / Investor",0.08*A171,0)),IF(Inputs!B7="Wales",(IF(Inputs!B8="Additional / Investor",(MIN(A171,180000)*0.05+MAX(0,MIN(A171,250000)-180000)*0.085+MAX(0,MIN(A171,400000)-250000)*0.1+MAX(0,MIN(A171,750000)-400000)*0.125+MAX(0,MIN(A171,1500000)-750000)*0.15+MAX(0,A171-1500000)*0.17),(MAX(0,MIN(A171,400000)-225000)*0.06+MAX(0,MIN(A171,750000)-400000)*0.075+MAX(0,MIN(A171,1500000)-750000)*0.1+MAX(0,A171-1500000)*0.12))),0)))))+(Inputs!B14+Inputs!B15+Inputs!B16+Inputs!B17)+(Summary!B14)+(Summary!B15)+(((((A171)*Inputs!B20)+(IF(Inputs!B24="Yes",(Summary!B14)*Inputs!B25,0))*Inputs!B26)*Inputs!B21*Inputs!B10/12)+((((A171)*Inputs!B20)+(IF(Inputs!B24="Yes",(Summary!B14)*Inputs!B25,0)))*Inputs!B22)+((((A171)*Inputs!B20)+(IF(Inputs!B24="Yes",(Summary!B14)*Inputs!B25,0)))*Inputs!B23))+(Summary!B17)))</f>
        <v/>
      </c>
      <c r="C171" t="str">
        <f t="shared" ref="C171:C202" si="5">IF(A171&gt;$B$6,"","")</f>
        <v/>
      </c>
    </row>
    <row r="172" spans="1:3" x14ac:dyDescent="0.2">
      <c r="A172" s="16">
        <f>$B$5+(161)*$B$7</f>
        <v>905000</v>
      </c>
      <c r="B172" s="16" t="str">
        <f>IF(A172&gt;$B$6,"",(Inputs!B6)-((A172)+(IF(Inputs!D13&lt;&gt;"",Inputs!D13,IF(Inputs!B7="England &amp; N. Ireland",(IF(Inputs!B8="First-time buyer",(IF(A172&lt;=500000,MAX(0,A172-300000)*0.05,(MAX(0,MIN(A172,250000)-125000)*0.02+MAX(0,MIN(A172,925000)-250000)*0.05+MAX(0,MIN(A172,1500000)-925000)*0.1+MAX(0,A172-1500000)*0.12))),(MAX(0,MIN(A172,250000)-125000)*0.02+MAX(0,MIN(A172,925000)-250000)*0.05+MAX(0,MIN(A172,1500000)-925000)*0.1+MAX(0,A172-1500000)*0.12)+IF(Inputs!B8="Additional / Investor",0.05*A172,0)+IF(Inputs!B9="Yes",0.02*A172,0))),IF(Inputs!B7="Scotland",((MAX(0,MIN(A172,250000)-145000)*0.02+MAX(0,MIN(A172,325000)-250000)*0.05+MAX(0,MIN(A172,750000)-325000)*0.1+MAX(0,A172-750000)*0.12)-IF(Inputs!B8="First-time buyer",(IF(A172&gt;145000,MIN(600,0.02*(MIN(A172,175000)-145000)),0)),0)+IF(Inputs!B8="Additional / Investor",0.08*A172,0)),IF(Inputs!B7="Wales",(IF(Inputs!B8="Additional / Investor",(MIN(A172,180000)*0.05+MAX(0,MIN(A172,250000)-180000)*0.085+MAX(0,MIN(A172,400000)-250000)*0.1+MAX(0,MIN(A172,750000)-400000)*0.125+MAX(0,MIN(A172,1500000)-750000)*0.15+MAX(0,A172-1500000)*0.17),(MAX(0,MIN(A172,400000)-225000)*0.06+MAX(0,MIN(A172,750000)-400000)*0.075+MAX(0,MIN(A172,1500000)-750000)*0.1+MAX(0,A172-1500000)*0.12))),0)))))+(Inputs!B14+Inputs!B15+Inputs!B16+Inputs!B17)+(Summary!B14)+(Summary!B15)+(((((A172)*Inputs!B20)+(IF(Inputs!B24="Yes",(Summary!B14)*Inputs!B25,0))*Inputs!B26)*Inputs!B21*Inputs!B10/12)+((((A172)*Inputs!B20)+(IF(Inputs!B24="Yes",(Summary!B14)*Inputs!B25,0)))*Inputs!B22)+((((A172)*Inputs!B20)+(IF(Inputs!B24="Yes",(Summary!B14)*Inputs!B25,0)))*Inputs!B23))+(Summary!B17)))</f>
        <v/>
      </c>
      <c r="C172" t="str">
        <f t="shared" si="5"/>
        <v/>
      </c>
    </row>
    <row r="173" spans="1:3" x14ac:dyDescent="0.2">
      <c r="A173" s="16">
        <f>$B$5+(162)*$B$7</f>
        <v>910000</v>
      </c>
      <c r="B173" s="16" t="str">
        <f>IF(A173&gt;$B$6,"",(Inputs!B6)-((A173)+(IF(Inputs!D13&lt;&gt;"",Inputs!D13,IF(Inputs!B7="England &amp; N. Ireland",(IF(Inputs!B8="First-time buyer",(IF(A173&lt;=500000,MAX(0,A173-300000)*0.05,(MAX(0,MIN(A173,250000)-125000)*0.02+MAX(0,MIN(A173,925000)-250000)*0.05+MAX(0,MIN(A173,1500000)-925000)*0.1+MAX(0,A173-1500000)*0.12))),(MAX(0,MIN(A173,250000)-125000)*0.02+MAX(0,MIN(A173,925000)-250000)*0.05+MAX(0,MIN(A173,1500000)-925000)*0.1+MAX(0,A173-1500000)*0.12)+IF(Inputs!B8="Additional / Investor",0.05*A173,0)+IF(Inputs!B9="Yes",0.02*A173,0))),IF(Inputs!B7="Scotland",((MAX(0,MIN(A173,250000)-145000)*0.02+MAX(0,MIN(A173,325000)-250000)*0.05+MAX(0,MIN(A173,750000)-325000)*0.1+MAX(0,A173-750000)*0.12)-IF(Inputs!B8="First-time buyer",(IF(A173&gt;145000,MIN(600,0.02*(MIN(A173,175000)-145000)),0)),0)+IF(Inputs!B8="Additional / Investor",0.08*A173,0)),IF(Inputs!B7="Wales",(IF(Inputs!B8="Additional / Investor",(MIN(A173,180000)*0.05+MAX(0,MIN(A173,250000)-180000)*0.085+MAX(0,MIN(A173,400000)-250000)*0.1+MAX(0,MIN(A173,750000)-400000)*0.125+MAX(0,MIN(A173,1500000)-750000)*0.15+MAX(0,A173-1500000)*0.17),(MAX(0,MIN(A173,400000)-225000)*0.06+MAX(0,MIN(A173,750000)-400000)*0.075+MAX(0,MIN(A173,1500000)-750000)*0.1+MAX(0,A173-1500000)*0.12))),0)))))+(Inputs!B14+Inputs!B15+Inputs!B16+Inputs!B17)+(Summary!B14)+(Summary!B15)+(((((A173)*Inputs!B20)+(IF(Inputs!B24="Yes",(Summary!B14)*Inputs!B25,0))*Inputs!B26)*Inputs!B21*Inputs!B10/12)+((((A173)*Inputs!B20)+(IF(Inputs!B24="Yes",(Summary!B14)*Inputs!B25,0)))*Inputs!B22)+((((A173)*Inputs!B20)+(IF(Inputs!B24="Yes",(Summary!B14)*Inputs!B25,0)))*Inputs!B23))+(Summary!B17)))</f>
        <v/>
      </c>
      <c r="C173" t="str">
        <f t="shared" si="5"/>
        <v/>
      </c>
    </row>
    <row r="174" spans="1:3" x14ac:dyDescent="0.2">
      <c r="A174" s="16">
        <f>$B$5+(163)*$B$7</f>
        <v>915000</v>
      </c>
      <c r="B174" s="16" t="str">
        <f>IF(A174&gt;$B$6,"",(Inputs!B6)-((A174)+(IF(Inputs!D13&lt;&gt;"",Inputs!D13,IF(Inputs!B7="England &amp; N. Ireland",(IF(Inputs!B8="First-time buyer",(IF(A174&lt;=500000,MAX(0,A174-300000)*0.05,(MAX(0,MIN(A174,250000)-125000)*0.02+MAX(0,MIN(A174,925000)-250000)*0.05+MAX(0,MIN(A174,1500000)-925000)*0.1+MAX(0,A174-1500000)*0.12))),(MAX(0,MIN(A174,250000)-125000)*0.02+MAX(0,MIN(A174,925000)-250000)*0.05+MAX(0,MIN(A174,1500000)-925000)*0.1+MAX(0,A174-1500000)*0.12)+IF(Inputs!B8="Additional / Investor",0.05*A174,0)+IF(Inputs!B9="Yes",0.02*A174,0))),IF(Inputs!B7="Scotland",((MAX(0,MIN(A174,250000)-145000)*0.02+MAX(0,MIN(A174,325000)-250000)*0.05+MAX(0,MIN(A174,750000)-325000)*0.1+MAX(0,A174-750000)*0.12)-IF(Inputs!B8="First-time buyer",(IF(A174&gt;145000,MIN(600,0.02*(MIN(A174,175000)-145000)),0)),0)+IF(Inputs!B8="Additional / Investor",0.08*A174,0)),IF(Inputs!B7="Wales",(IF(Inputs!B8="Additional / Investor",(MIN(A174,180000)*0.05+MAX(0,MIN(A174,250000)-180000)*0.085+MAX(0,MIN(A174,400000)-250000)*0.1+MAX(0,MIN(A174,750000)-400000)*0.125+MAX(0,MIN(A174,1500000)-750000)*0.15+MAX(0,A174-1500000)*0.17),(MAX(0,MIN(A174,400000)-225000)*0.06+MAX(0,MIN(A174,750000)-400000)*0.075+MAX(0,MIN(A174,1500000)-750000)*0.1+MAX(0,A174-1500000)*0.12))),0)))))+(Inputs!B14+Inputs!B15+Inputs!B16+Inputs!B17)+(Summary!B14)+(Summary!B15)+(((((A174)*Inputs!B20)+(IF(Inputs!B24="Yes",(Summary!B14)*Inputs!B25,0))*Inputs!B26)*Inputs!B21*Inputs!B10/12)+((((A174)*Inputs!B20)+(IF(Inputs!B24="Yes",(Summary!B14)*Inputs!B25,0)))*Inputs!B22)+((((A174)*Inputs!B20)+(IF(Inputs!B24="Yes",(Summary!B14)*Inputs!B25,0)))*Inputs!B23))+(Summary!B17)))</f>
        <v/>
      </c>
      <c r="C174" t="str">
        <f t="shared" si="5"/>
        <v/>
      </c>
    </row>
    <row r="175" spans="1:3" x14ac:dyDescent="0.2">
      <c r="A175" s="16">
        <f>$B$5+(164)*$B$7</f>
        <v>920000</v>
      </c>
      <c r="B175" s="16" t="str">
        <f>IF(A175&gt;$B$6,"",(Inputs!B6)-((A175)+(IF(Inputs!D13&lt;&gt;"",Inputs!D13,IF(Inputs!B7="England &amp; N. Ireland",(IF(Inputs!B8="First-time buyer",(IF(A175&lt;=500000,MAX(0,A175-300000)*0.05,(MAX(0,MIN(A175,250000)-125000)*0.02+MAX(0,MIN(A175,925000)-250000)*0.05+MAX(0,MIN(A175,1500000)-925000)*0.1+MAX(0,A175-1500000)*0.12))),(MAX(0,MIN(A175,250000)-125000)*0.02+MAX(0,MIN(A175,925000)-250000)*0.05+MAX(0,MIN(A175,1500000)-925000)*0.1+MAX(0,A175-1500000)*0.12)+IF(Inputs!B8="Additional / Investor",0.05*A175,0)+IF(Inputs!B9="Yes",0.02*A175,0))),IF(Inputs!B7="Scotland",((MAX(0,MIN(A175,250000)-145000)*0.02+MAX(0,MIN(A175,325000)-250000)*0.05+MAX(0,MIN(A175,750000)-325000)*0.1+MAX(0,A175-750000)*0.12)-IF(Inputs!B8="First-time buyer",(IF(A175&gt;145000,MIN(600,0.02*(MIN(A175,175000)-145000)),0)),0)+IF(Inputs!B8="Additional / Investor",0.08*A175,0)),IF(Inputs!B7="Wales",(IF(Inputs!B8="Additional / Investor",(MIN(A175,180000)*0.05+MAX(0,MIN(A175,250000)-180000)*0.085+MAX(0,MIN(A175,400000)-250000)*0.1+MAX(0,MIN(A175,750000)-400000)*0.125+MAX(0,MIN(A175,1500000)-750000)*0.15+MAX(0,A175-1500000)*0.17),(MAX(0,MIN(A175,400000)-225000)*0.06+MAX(0,MIN(A175,750000)-400000)*0.075+MAX(0,MIN(A175,1500000)-750000)*0.1+MAX(0,A175-1500000)*0.12))),0)))))+(Inputs!B14+Inputs!B15+Inputs!B16+Inputs!B17)+(Summary!B14)+(Summary!B15)+(((((A175)*Inputs!B20)+(IF(Inputs!B24="Yes",(Summary!B14)*Inputs!B25,0))*Inputs!B26)*Inputs!B21*Inputs!B10/12)+((((A175)*Inputs!B20)+(IF(Inputs!B24="Yes",(Summary!B14)*Inputs!B25,0)))*Inputs!B22)+((((A175)*Inputs!B20)+(IF(Inputs!B24="Yes",(Summary!B14)*Inputs!B25,0)))*Inputs!B23))+(Summary!B17)))</f>
        <v/>
      </c>
      <c r="C175" t="str">
        <f t="shared" si="5"/>
        <v/>
      </c>
    </row>
    <row r="176" spans="1:3" x14ac:dyDescent="0.2">
      <c r="A176" s="16">
        <f>$B$5+(165)*$B$7</f>
        <v>925000</v>
      </c>
      <c r="B176" s="16" t="str">
        <f>IF(A176&gt;$B$6,"",(Inputs!B6)-((A176)+(IF(Inputs!D13&lt;&gt;"",Inputs!D13,IF(Inputs!B7="England &amp; N. Ireland",(IF(Inputs!B8="First-time buyer",(IF(A176&lt;=500000,MAX(0,A176-300000)*0.05,(MAX(0,MIN(A176,250000)-125000)*0.02+MAX(0,MIN(A176,925000)-250000)*0.05+MAX(0,MIN(A176,1500000)-925000)*0.1+MAX(0,A176-1500000)*0.12))),(MAX(0,MIN(A176,250000)-125000)*0.02+MAX(0,MIN(A176,925000)-250000)*0.05+MAX(0,MIN(A176,1500000)-925000)*0.1+MAX(0,A176-1500000)*0.12)+IF(Inputs!B8="Additional / Investor",0.05*A176,0)+IF(Inputs!B9="Yes",0.02*A176,0))),IF(Inputs!B7="Scotland",((MAX(0,MIN(A176,250000)-145000)*0.02+MAX(0,MIN(A176,325000)-250000)*0.05+MAX(0,MIN(A176,750000)-325000)*0.1+MAX(0,A176-750000)*0.12)-IF(Inputs!B8="First-time buyer",(IF(A176&gt;145000,MIN(600,0.02*(MIN(A176,175000)-145000)),0)),0)+IF(Inputs!B8="Additional / Investor",0.08*A176,0)),IF(Inputs!B7="Wales",(IF(Inputs!B8="Additional / Investor",(MIN(A176,180000)*0.05+MAX(0,MIN(A176,250000)-180000)*0.085+MAX(0,MIN(A176,400000)-250000)*0.1+MAX(0,MIN(A176,750000)-400000)*0.125+MAX(0,MIN(A176,1500000)-750000)*0.15+MAX(0,A176-1500000)*0.17),(MAX(0,MIN(A176,400000)-225000)*0.06+MAX(0,MIN(A176,750000)-400000)*0.075+MAX(0,MIN(A176,1500000)-750000)*0.1+MAX(0,A176-1500000)*0.12))),0)))))+(Inputs!B14+Inputs!B15+Inputs!B16+Inputs!B17)+(Summary!B14)+(Summary!B15)+(((((A176)*Inputs!B20)+(IF(Inputs!B24="Yes",(Summary!B14)*Inputs!B25,0))*Inputs!B26)*Inputs!B21*Inputs!B10/12)+((((A176)*Inputs!B20)+(IF(Inputs!B24="Yes",(Summary!B14)*Inputs!B25,0)))*Inputs!B22)+((((A176)*Inputs!B20)+(IF(Inputs!B24="Yes",(Summary!B14)*Inputs!B25,0)))*Inputs!B23))+(Summary!B17)))</f>
        <v/>
      </c>
      <c r="C176" t="str">
        <f t="shared" si="5"/>
        <v/>
      </c>
    </row>
    <row r="177" spans="1:3" x14ac:dyDescent="0.2">
      <c r="A177" s="16">
        <f>$B$5+(166)*$B$7</f>
        <v>930000</v>
      </c>
      <c r="B177" s="16" t="str">
        <f>IF(A177&gt;$B$6,"",(Inputs!B6)-((A177)+(IF(Inputs!D13&lt;&gt;"",Inputs!D13,IF(Inputs!B7="England &amp; N. Ireland",(IF(Inputs!B8="First-time buyer",(IF(A177&lt;=500000,MAX(0,A177-300000)*0.05,(MAX(0,MIN(A177,250000)-125000)*0.02+MAX(0,MIN(A177,925000)-250000)*0.05+MAX(0,MIN(A177,1500000)-925000)*0.1+MAX(0,A177-1500000)*0.12))),(MAX(0,MIN(A177,250000)-125000)*0.02+MAX(0,MIN(A177,925000)-250000)*0.05+MAX(0,MIN(A177,1500000)-925000)*0.1+MAX(0,A177-1500000)*0.12)+IF(Inputs!B8="Additional / Investor",0.05*A177,0)+IF(Inputs!B9="Yes",0.02*A177,0))),IF(Inputs!B7="Scotland",((MAX(0,MIN(A177,250000)-145000)*0.02+MAX(0,MIN(A177,325000)-250000)*0.05+MAX(0,MIN(A177,750000)-325000)*0.1+MAX(0,A177-750000)*0.12)-IF(Inputs!B8="First-time buyer",(IF(A177&gt;145000,MIN(600,0.02*(MIN(A177,175000)-145000)),0)),0)+IF(Inputs!B8="Additional / Investor",0.08*A177,0)),IF(Inputs!B7="Wales",(IF(Inputs!B8="Additional / Investor",(MIN(A177,180000)*0.05+MAX(0,MIN(A177,250000)-180000)*0.085+MAX(0,MIN(A177,400000)-250000)*0.1+MAX(0,MIN(A177,750000)-400000)*0.125+MAX(0,MIN(A177,1500000)-750000)*0.15+MAX(0,A177-1500000)*0.17),(MAX(0,MIN(A177,400000)-225000)*0.06+MAX(0,MIN(A177,750000)-400000)*0.075+MAX(0,MIN(A177,1500000)-750000)*0.1+MAX(0,A177-1500000)*0.12))),0)))))+(Inputs!B14+Inputs!B15+Inputs!B16+Inputs!B17)+(Summary!B14)+(Summary!B15)+(((((A177)*Inputs!B20)+(IF(Inputs!B24="Yes",(Summary!B14)*Inputs!B25,0))*Inputs!B26)*Inputs!B21*Inputs!B10/12)+((((A177)*Inputs!B20)+(IF(Inputs!B24="Yes",(Summary!B14)*Inputs!B25,0)))*Inputs!B22)+((((A177)*Inputs!B20)+(IF(Inputs!B24="Yes",(Summary!B14)*Inputs!B25,0)))*Inputs!B23))+(Summary!B17)))</f>
        <v/>
      </c>
      <c r="C177" t="str">
        <f t="shared" si="5"/>
        <v/>
      </c>
    </row>
    <row r="178" spans="1:3" x14ac:dyDescent="0.2">
      <c r="A178" s="16">
        <f>$B$5+(167)*$B$7</f>
        <v>935000</v>
      </c>
      <c r="B178" s="16" t="str">
        <f>IF(A178&gt;$B$6,"",(Inputs!B6)-((A178)+(IF(Inputs!D13&lt;&gt;"",Inputs!D13,IF(Inputs!B7="England &amp; N. Ireland",(IF(Inputs!B8="First-time buyer",(IF(A178&lt;=500000,MAX(0,A178-300000)*0.05,(MAX(0,MIN(A178,250000)-125000)*0.02+MAX(0,MIN(A178,925000)-250000)*0.05+MAX(0,MIN(A178,1500000)-925000)*0.1+MAX(0,A178-1500000)*0.12))),(MAX(0,MIN(A178,250000)-125000)*0.02+MAX(0,MIN(A178,925000)-250000)*0.05+MAX(0,MIN(A178,1500000)-925000)*0.1+MAX(0,A178-1500000)*0.12)+IF(Inputs!B8="Additional / Investor",0.05*A178,0)+IF(Inputs!B9="Yes",0.02*A178,0))),IF(Inputs!B7="Scotland",((MAX(0,MIN(A178,250000)-145000)*0.02+MAX(0,MIN(A178,325000)-250000)*0.05+MAX(0,MIN(A178,750000)-325000)*0.1+MAX(0,A178-750000)*0.12)-IF(Inputs!B8="First-time buyer",(IF(A178&gt;145000,MIN(600,0.02*(MIN(A178,175000)-145000)),0)),0)+IF(Inputs!B8="Additional / Investor",0.08*A178,0)),IF(Inputs!B7="Wales",(IF(Inputs!B8="Additional / Investor",(MIN(A178,180000)*0.05+MAX(0,MIN(A178,250000)-180000)*0.085+MAX(0,MIN(A178,400000)-250000)*0.1+MAX(0,MIN(A178,750000)-400000)*0.125+MAX(0,MIN(A178,1500000)-750000)*0.15+MAX(0,A178-1500000)*0.17),(MAX(0,MIN(A178,400000)-225000)*0.06+MAX(0,MIN(A178,750000)-400000)*0.075+MAX(0,MIN(A178,1500000)-750000)*0.1+MAX(0,A178-1500000)*0.12))),0)))))+(Inputs!B14+Inputs!B15+Inputs!B16+Inputs!B17)+(Summary!B14)+(Summary!B15)+(((((A178)*Inputs!B20)+(IF(Inputs!B24="Yes",(Summary!B14)*Inputs!B25,0))*Inputs!B26)*Inputs!B21*Inputs!B10/12)+((((A178)*Inputs!B20)+(IF(Inputs!B24="Yes",(Summary!B14)*Inputs!B25,0)))*Inputs!B22)+((((A178)*Inputs!B20)+(IF(Inputs!B24="Yes",(Summary!B14)*Inputs!B25,0)))*Inputs!B23))+(Summary!B17)))</f>
        <v/>
      </c>
      <c r="C178" t="str">
        <f t="shared" si="5"/>
        <v/>
      </c>
    </row>
    <row r="179" spans="1:3" x14ac:dyDescent="0.2">
      <c r="A179" s="16">
        <f>$B$5+(168)*$B$7</f>
        <v>940000</v>
      </c>
      <c r="B179" s="16" t="str">
        <f>IF(A179&gt;$B$6,"",(Inputs!B6)-((A179)+(IF(Inputs!D13&lt;&gt;"",Inputs!D13,IF(Inputs!B7="England &amp; N. Ireland",(IF(Inputs!B8="First-time buyer",(IF(A179&lt;=500000,MAX(0,A179-300000)*0.05,(MAX(0,MIN(A179,250000)-125000)*0.02+MAX(0,MIN(A179,925000)-250000)*0.05+MAX(0,MIN(A179,1500000)-925000)*0.1+MAX(0,A179-1500000)*0.12))),(MAX(0,MIN(A179,250000)-125000)*0.02+MAX(0,MIN(A179,925000)-250000)*0.05+MAX(0,MIN(A179,1500000)-925000)*0.1+MAX(0,A179-1500000)*0.12)+IF(Inputs!B8="Additional / Investor",0.05*A179,0)+IF(Inputs!B9="Yes",0.02*A179,0))),IF(Inputs!B7="Scotland",((MAX(0,MIN(A179,250000)-145000)*0.02+MAX(0,MIN(A179,325000)-250000)*0.05+MAX(0,MIN(A179,750000)-325000)*0.1+MAX(0,A179-750000)*0.12)-IF(Inputs!B8="First-time buyer",(IF(A179&gt;145000,MIN(600,0.02*(MIN(A179,175000)-145000)),0)),0)+IF(Inputs!B8="Additional / Investor",0.08*A179,0)),IF(Inputs!B7="Wales",(IF(Inputs!B8="Additional / Investor",(MIN(A179,180000)*0.05+MAX(0,MIN(A179,250000)-180000)*0.085+MAX(0,MIN(A179,400000)-250000)*0.1+MAX(0,MIN(A179,750000)-400000)*0.125+MAX(0,MIN(A179,1500000)-750000)*0.15+MAX(0,A179-1500000)*0.17),(MAX(0,MIN(A179,400000)-225000)*0.06+MAX(0,MIN(A179,750000)-400000)*0.075+MAX(0,MIN(A179,1500000)-750000)*0.1+MAX(0,A179-1500000)*0.12))),0)))))+(Inputs!B14+Inputs!B15+Inputs!B16+Inputs!B17)+(Summary!B14)+(Summary!B15)+(((((A179)*Inputs!B20)+(IF(Inputs!B24="Yes",(Summary!B14)*Inputs!B25,0))*Inputs!B26)*Inputs!B21*Inputs!B10/12)+((((A179)*Inputs!B20)+(IF(Inputs!B24="Yes",(Summary!B14)*Inputs!B25,0)))*Inputs!B22)+((((A179)*Inputs!B20)+(IF(Inputs!B24="Yes",(Summary!B14)*Inputs!B25,0)))*Inputs!B23))+(Summary!B17)))</f>
        <v/>
      </c>
      <c r="C179" t="str">
        <f t="shared" si="5"/>
        <v/>
      </c>
    </row>
    <row r="180" spans="1:3" x14ac:dyDescent="0.2">
      <c r="A180" s="16">
        <f>$B$5+(169)*$B$7</f>
        <v>945000</v>
      </c>
      <c r="B180" s="16" t="str">
        <f>IF(A180&gt;$B$6,"",(Inputs!B6)-((A180)+(IF(Inputs!D13&lt;&gt;"",Inputs!D13,IF(Inputs!B7="England &amp; N. Ireland",(IF(Inputs!B8="First-time buyer",(IF(A180&lt;=500000,MAX(0,A180-300000)*0.05,(MAX(0,MIN(A180,250000)-125000)*0.02+MAX(0,MIN(A180,925000)-250000)*0.05+MAX(0,MIN(A180,1500000)-925000)*0.1+MAX(0,A180-1500000)*0.12))),(MAX(0,MIN(A180,250000)-125000)*0.02+MAX(0,MIN(A180,925000)-250000)*0.05+MAX(0,MIN(A180,1500000)-925000)*0.1+MAX(0,A180-1500000)*0.12)+IF(Inputs!B8="Additional / Investor",0.05*A180,0)+IF(Inputs!B9="Yes",0.02*A180,0))),IF(Inputs!B7="Scotland",((MAX(0,MIN(A180,250000)-145000)*0.02+MAX(0,MIN(A180,325000)-250000)*0.05+MAX(0,MIN(A180,750000)-325000)*0.1+MAX(0,A180-750000)*0.12)-IF(Inputs!B8="First-time buyer",(IF(A180&gt;145000,MIN(600,0.02*(MIN(A180,175000)-145000)),0)),0)+IF(Inputs!B8="Additional / Investor",0.08*A180,0)),IF(Inputs!B7="Wales",(IF(Inputs!B8="Additional / Investor",(MIN(A180,180000)*0.05+MAX(0,MIN(A180,250000)-180000)*0.085+MAX(0,MIN(A180,400000)-250000)*0.1+MAX(0,MIN(A180,750000)-400000)*0.125+MAX(0,MIN(A180,1500000)-750000)*0.15+MAX(0,A180-1500000)*0.17),(MAX(0,MIN(A180,400000)-225000)*0.06+MAX(0,MIN(A180,750000)-400000)*0.075+MAX(0,MIN(A180,1500000)-750000)*0.1+MAX(0,A180-1500000)*0.12))),0)))))+(Inputs!B14+Inputs!B15+Inputs!B16+Inputs!B17)+(Summary!B14)+(Summary!B15)+(((((A180)*Inputs!B20)+(IF(Inputs!B24="Yes",(Summary!B14)*Inputs!B25,0))*Inputs!B26)*Inputs!B21*Inputs!B10/12)+((((A180)*Inputs!B20)+(IF(Inputs!B24="Yes",(Summary!B14)*Inputs!B25,0)))*Inputs!B22)+((((A180)*Inputs!B20)+(IF(Inputs!B24="Yes",(Summary!B14)*Inputs!B25,0)))*Inputs!B23))+(Summary!B17)))</f>
        <v/>
      </c>
      <c r="C180" t="str">
        <f t="shared" si="5"/>
        <v/>
      </c>
    </row>
    <row r="181" spans="1:3" x14ac:dyDescent="0.2">
      <c r="A181" s="16">
        <f>$B$5+(170)*$B$7</f>
        <v>950000</v>
      </c>
      <c r="B181" s="16" t="str">
        <f>IF(A181&gt;$B$6,"",(Inputs!B6)-((A181)+(IF(Inputs!D13&lt;&gt;"",Inputs!D13,IF(Inputs!B7="England &amp; N. Ireland",(IF(Inputs!B8="First-time buyer",(IF(A181&lt;=500000,MAX(0,A181-300000)*0.05,(MAX(0,MIN(A181,250000)-125000)*0.02+MAX(0,MIN(A181,925000)-250000)*0.05+MAX(0,MIN(A181,1500000)-925000)*0.1+MAX(0,A181-1500000)*0.12))),(MAX(0,MIN(A181,250000)-125000)*0.02+MAX(0,MIN(A181,925000)-250000)*0.05+MAX(0,MIN(A181,1500000)-925000)*0.1+MAX(0,A181-1500000)*0.12)+IF(Inputs!B8="Additional / Investor",0.05*A181,0)+IF(Inputs!B9="Yes",0.02*A181,0))),IF(Inputs!B7="Scotland",((MAX(0,MIN(A181,250000)-145000)*0.02+MAX(0,MIN(A181,325000)-250000)*0.05+MAX(0,MIN(A181,750000)-325000)*0.1+MAX(0,A181-750000)*0.12)-IF(Inputs!B8="First-time buyer",(IF(A181&gt;145000,MIN(600,0.02*(MIN(A181,175000)-145000)),0)),0)+IF(Inputs!B8="Additional / Investor",0.08*A181,0)),IF(Inputs!B7="Wales",(IF(Inputs!B8="Additional / Investor",(MIN(A181,180000)*0.05+MAX(0,MIN(A181,250000)-180000)*0.085+MAX(0,MIN(A181,400000)-250000)*0.1+MAX(0,MIN(A181,750000)-400000)*0.125+MAX(0,MIN(A181,1500000)-750000)*0.15+MAX(0,A181-1500000)*0.17),(MAX(0,MIN(A181,400000)-225000)*0.06+MAX(0,MIN(A181,750000)-400000)*0.075+MAX(0,MIN(A181,1500000)-750000)*0.1+MAX(0,A181-1500000)*0.12))),0)))))+(Inputs!B14+Inputs!B15+Inputs!B16+Inputs!B17)+(Summary!B14)+(Summary!B15)+(((((A181)*Inputs!B20)+(IF(Inputs!B24="Yes",(Summary!B14)*Inputs!B25,0))*Inputs!B26)*Inputs!B21*Inputs!B10/12)+((((A181)*Inputs!B20)+(IF(Inputs!B24="Yes",(Summary!B14)*Inputs!B25,0)))*Inputs!B22)+((((A181)*Inputs!B20)+(IF(Inputs!B24="Yes",(Summary!B14)*Inputs!B25,0)))*Inputs!B23))+(Summary!B17)))</f>
        <v/>
      </c>
      <c r="C181" t="str">
        <f t="shared" si="5"/>
        <v/>
      </c>
    </row>
    <row r="182" spans="1:3" x14ac:dyDescent="0.2">
      <c r="A182" s="16">
        <f>$B$5+(171)*$B$7</f>
        <v>955000</v>
      </c>
      <c r="B182" s="16" t="str">
        <f>IF(A182&gt;$B$6,"",(Inputs!B6)-((A182)+(IF(Inputs!D13&lt;&gt;"",Inputs!D13,IF(Inputs!B7="England &amp; N. Ireland",(IF(Inputs!B8="First-time buyer",(IF(A182&lt;=500000,MAX(0,A182-300000)*0.05,(MAX(0,MIN(A182,250000)-125000)*0.02+MAX(0,MIN(A182,925000)-250000)*0.05+MAX(0,MIN(A182,1500000)-925000)*0.1+MAX(0,A182-1500000)*0.12))),(MAX(0,MIN(A182,250000)-125000)*0.02+MAX(0,MIN(A182,925000)-250000)*0.05+MAX(0,MIN(A182,1500000)-925000)*0.1+MAX(0,A182-1500000)*0.12)+IF(Inputs!B8="Additional / Investor",0.05*A182,0)+IF(Inputs!B9="Yes",0.02*A182,0))),IF(Inputs!B7="Scotland",((MAX(0,MIN(A182,250000)-145000)*0.02+MAX(0,MIN(A182,325000)-250000)*0.05+MAX(0,MIN(A182,750000)-325000)*0.1+MAX(0,A182-750000)*0.12)-IF(Inputs!B8="First-time buyer",(IF(A182&gt;145000,MIN(600,0.02*(MIN(A182,175000)-145000)),0)),0)+IF(Inputs!B8="Additional / Investor",0.08*A182,0)),IF(Inputs!B7="Wales",(IF(Inputs!B8="Additional / Investor",(MIN(A182,180000)*0.05+MAX(0,MIN(A182,250000)-180000)*0.085+MAX(0,MIN(A182,400000)-250000)*0.1+MAX(0,MIN(A182,750000)-400000)*0.125+MAX(0,MIN(A182,1500000)-750000)*0.15+MAX(0,A182-1500000)*0.17),(MAX(0,MIN(A182,400000)-225000)*0.06+MAX(0,MIN(A182,750000)-400000)*0.075+MAX(0,MIN(A182,1500000)-750000)*0.1+MAX(0,A182-1500000)*0.12))),0)))))+(Inputs!B14+Inputs!B15+Inputs!B16+Inputs!B17)+(Summary!B14)+(Summary!B15)+(((((A182)*Inputs!B20)+(IF(Inputs!B24="Yes",(Summary!B14)*Inputs!B25,0))*Inputs!B26)*Inputs!B21*Inputs!B10/12)+((((A182)*Inputs!B20)+(IF(Inputs!B24="Yes",(Summary!B14)*Inputs!B25,0)))*Inputs!B22)+((((A182)*Inputs!B20)+(IF(Inputs!B24="Yes",(Summary!B14)*Inputs!B25,0)))*Inputs!B23))+(Summary!B17)))</f>
        <v/>
      </c>
      <c r="C182" t="str">
        <f t="shared" si="5"/>
        <v/>
      </c>
    </row>
    <row r="183" spans="1:3" x14ac:dyDescent="0.2">
      <c r="A183" s="16">
        <f>$B$5+(172)*$B$7</f>
        <v>960000</v>
      </c>
      <c r="B183" s="16" t="str">
        <f>IF(A183&gt;$B$6,"",(Inputs!B6)-((A183)+(IF(Inputs!D13&lt;&gt;"",Inputs!D13,IF(Inputs!B7="England &amp; N. Ireland",(IF(Inputs!B8="First-time buyer",(IF(A183&lt;=500000,MAX(0,A183-300000)*0.05,(MAX(0,MIN(A183,250000)-125000)*0.02+MAX(0,MIN(A183,925000)-250000)*0.05+MAX(0,MIN(A183,1500000)-925000)*0.1+MAX(0,A183-1500000)*0.12))),(MAX(0,MIN(A183,250000)-125000)*0.02+MAX(0,MIN(A183,925000)-250000)*0.05+MAX(0,MIN(A183,1500000)-925000)*0.1+MAX(0,A183-1500000)*0.12)+IF(Inputs!B8="Additional / Investor",0.05*A183,0)+IF(Inputs!B9="Yes",0.02*A183,0))),IF(Inputs!B7="Scotland",((MAX(0,MIN(A183,250000)-145000)*0.02+MAX(0,MIN(A183,325000)-250000)*0.05+MAX(0,MIN(A183,750000)-325000)*0.1+MAX(0,A183-750000)*0.12)-IF(Inputs!B8="First-time buyer",(IF(A183&gt;145000,MIN(600,0.02*(MIN(A183,175000)-145000)),0)),0)+IF(Inputs!B8="Additional / Investor",0.08*A183,0)),IF(Inputs!B7="Wales",(IF(Inputs!B8="Additional / Investor",(MIN(A183,180000)*0.05+MAX(0,MIN(A183,250000)-180000)*0.085+MAX(0,MIN(A183,400000)-250000)*0.1+MAX(0,MIN(A183,750000)-400000)*0.125+MAX(0,MIN(A183,1500000)-750000)*0.15+MAX(0,A183-1500000)*0.17),(MAX(0,MIN(A183,400000)-225000)*0.06+MAX(0,MIN(A183,750000)-400000)*0.075+MAX(0,MIN(A183,1500000)-750000)*0.1+MAX(0,A183-1500000)*0.12))),0)))))+(Inputs!B14+Inputs!B15+Inputs!B16+Inputs!B17)+(Summary!B14)+(Summary!B15)+(((((A183)*Inputs!B20)+(IF(Inputs!B24="Yes",(Summary!B14)*Inputs!B25,0))*Inputs!B26)*Inputs!B21*Inputs!B10/12)+((((A183)*Inputs!B20)+(IF(Inputs!B24="Yes",(Summary!B14)*Inputs!B25,0)))*Inputs!B22)+((((A183)*Inputs!B20)+(IF(Inputs!B24="Yes",(Summary!B14)*Inputs!B25,0)))*Inputs!B23))+(Summary!B17)))</f>
        <v/>
      </c>
      <c r="C183" t="str">
        <f t="shared" si="5"/>
        <v/>
      </c>
    </row>
    <row r="184" spans="1:3" x14ac:dyDescent="0.2">
      <c r="A184" s="16">
        <f>$B$5+(173)*$B$7</f>
        <v>965000</v>
      </c>
      <c r="B184" s="16" t="str">
        <f>IF(A184&gt;$B$6,"",(Inputs!B6)-((A184)+(IF(Inputs!D13&lt;&gt;"",Inputs!D13,IF(Inputs!B7="England &amp; N. Ireland",(IF(Inputs!B8="First-time buyer",(IF(A184&lt;=500000,MAX(0,A184-300000)*0.05,(MAX(0,MIN(A184,250000)-125000)*0.02+MAX(0,MIN(A184,925000)-250000)*0.05+MAX(0,MIN(A184,1500000)-925000)*0.1+MAX(0,A184-1500000)*0.12))),(MAX(0,MIN(A184,250000)-125000)*0.02+MAX(0,MIN(A184,925000)-250000)*0.05+MAX(0,MIN(A184,1500000)-925000)*0.1+MAX(0,A184-1500000)*0.12)+IF(Inputs!B8="Additional / Investor",0.05*A184,0)+IF(Inputs!B9="Yes",0.02*A184,0))),IF(Inputs!B7="Scotland",((MAX(0,MIN(A184,250000)-145000)*0.02+MAX(0,MIN(A184,325000)-250000)*0.05+MAX(0,MIN(A184,750000)-325000)*0.1+MAX(0,A184-750000)*0.12)-IF(Inputs!B8="First-time buyer",(IF(A184&gt;145000,MIN(600,0.02*(MIN(A184,175000)-145000)),0)),0)+IF(Inputs!B8="Additional / Investor",0.08*A184,0)),IF(Inputs!B7="Wales",(IF(Inputs!B8="Additional / Investor",(MIN(A184,180000)*0.05+MAX(0,MIN(A184,250000)-180000)*0.085+MAX(0,MIN(A184,400000)-250000)*0.1+MAX(0,MIN(A184,750000)-400000)*0.125+MAX(0,MIN(A184,1500000)-750000)*0.15+MAX(0,A184-1500000)*0.17),(MAX(0,MIN(A184,400000)-225000)*0.06+MAX(0,MIN(A184,750000)-400000)*0.075+MAX(0,MIN(A184,1500000)-750000)*0.1+MAX(0,A184-1500000)*0.12))),0)))))+(Inputs!B14+Inputs!B15+Inputs!B16+Inputs!B17)+(Summary!B14)+(Summary!B15)+(((((A184)*Inputs!B20)+(IF(Inputs!B24="Yes",(Summary!B14)*Inputs!B25,0))*Inputs!B26)*Inputs!B21*Inputs!B10/12)+((((A184)*Inputs!B20)+(IF(Inputs!B24="Yes",(Summary!B14)*Inputs!B25,0)))*Inputs!B22)+((((A184)*Inputs!B20)+(IF(Inputs!B24="Yes",(Summary!B14)*Inputs!B25,0)))*Inputs!B23))+(Summary!B17)))</f>
        <v/>
      </c>
      <c r="C184" t="str">
        <f t="shared" si="5"/>
        <v/>
      </c>
    </row>
    <row r="185" spans="1:3" x14ac:dyDescent="0.2">
      <c r="A185" s="16">
        <f>$B$5+(174)*$B$7</f>
        <v>970000</v>
      </c>
      <c r="B185" s="16" t="str">
        <f>IF(A185&gt;$B$6,"",(Inputs!B6)-((A185)+(IF(Inputs!D13&lt;&gt;"",Inputs!D13,IF(Inputs!B7="England &amp; N. Ireland",(IF(Inputs!B8="First-time buyer",(IF(A185&lt;=500000,MAX(0,A185-300000)*0.05,(MAX(0,MIN(A185,250000)-125000)*0.02+MAX(0,MIN(A185,925000)-250000)*0.05+MAX(0,MIN(A185,1500000)-925000)*0.1+MAX(0,A185-1500000)*0.12))),(MAX(0,MIN(A185,250000)-125000)*0.02+MAX(0,MIN(A185,925000)-250000)*0.05+MAX(0,MIN(A185,1500000)-925000)*0.1+MAX(0,A185-1500000)*0.12)+IF(Inputs!B8="Additional / Investor",0.05*A185,0)+IF(Inputs!B9="Yes",0.02*A185,0))),IF(Inputs!B7="Scotland",((MAX(0,MIN(A185,250000)-145000)*0.02+MAX(0,MIN(A185,325000)-250000)*0.05+MAX(0,MIN(A185,750000)-325000)*0.1+MAX(0,A185-750000)*0.12)-IF(Inputs!B8="First-time buyer",(IF(A185&gt;145000,MIN(600,0.02*(MIN(A185,175000)-145000)),0)),0)+IF(Inputs!B8="Additional / Investor",0.08*A185,0)),IF(Inputs!B7="Wales",(IF(Inputs!B8="Additional / Investor",(MIN(A185,180000)*0.05+MAX(0,MIN(A185,250000)-180000)*0.085+MAX(0,MIN(A185,400000)-250000)*0.1+MAX(0,MIN(A185,750000)-400000)*0.125+MAX(0,MIN(A185,1500000)-750000)*0.15+MAX(0,A185-1500000)*0.17),(MAX(0,MIN(A185,400000)-225000)*0.06+MAX(0,MIN(A185,750000)-400000)*0.075+MAX(0,MIN(A185,1500000)-750000)*0.1+MAX(0,A185-1500000)*0.12))),0)))))+(Inputs!B14+Inputs!B15+Inputs!B16+Inputs!B17)+(Summary!B14)+(Summary!B15)+(((((A185)*Inputs!B20)+(IF(Inputs!B24="Yes",(Summary!B14)*Inputs!B25,0))*Inputs!B26)*Inputs!B21*Inputs!B10/12)+((((A185)*Inputs!B20)+(IF(Inputs!B24="Yes",(Summary!B14)*Inputs!B25,0)))*Inputs!B22)+((((A185)*Inputs!B20)+(IF(Inputs!B24="Yes",(Summary!B14)*Inputs!B25,0)))*Inputs!B23))+(Summary!B17)))</f>
        <v/>
      </c>
      <c r="C185" t="str">
        <f t="shared" si="5"/>
        <v/>
      </c>
    </row>
    <row r="186" spans="1:3" x14ac:dyDescent="0.2">
      <c r="A186" s="16">
        <f>$B$5+(175)*$B$7</f>
        <v>975000</v>
      </c>
      <c r="B186" s="16" t="str">
        <f>IF(A186&gt;$B$6,"",(Inputs!B6)-((A186)+(IF(Inputs!D13&lt;&gt;"",Inputs!D13,IF(Inputs!B7="England &amp; N. Ireland",(IF(Inputs!B8="First-time buyer",(IF(A186&lt;=500000,MAX(0,A186-300000)*0.05,(MAX(0,MIN(A186,250000)-125000)*0.02+MAX(0,MIN(A186,925000)-250000)*0.05+MAX(0,MIN(A186,1500000)-925000)*0.1+MAX(0,A186-1500000)*0.12))),(MAX(0,MIN(A186,250000)-125000)*0.02+MAX(0,MIN(A186,925000)-250000)*0.05+MAX(0,MIN(A186,1500000)-925000)*0.1+MAX(0,A186-1500000)*0.12)+IF(Inputs!B8="Additional / Investor",0.05*A186,0)+IF(Inputs!B9="Yes",0.02*A186,0))),IF(Inputs!B7="Scotland",((MAX(0,MIN(A186,250000)-145000)*0.02+MAX(0,MIN(A186,325000)-250000)*0.05+MAX(0,MIN(A186,750000)-325000)*0.1+MAX(0,A186-750000)*0.12)-IF(Inputs!B8="First-time buyer",(IF(A186&gt;145000,MIN(600,0.02*(MIN(A186,175000)-145000)),0)),0)+IF(Inputs!B8="Additional / Investor",0.08*A186,0)),IF(Inputs!B7="Wales",(IF(Inputs!B8="Additional / Investor",(MIN(A186,180000)*0.05+MAX(0,MIN(A186,250000)-180000)*0.085+MAX(0,MIN(A186,400000)-250000)*0.1+MAX(0,MIN(A186,750000)-400000)*0.125+MAX(0,MIN(A186,1500000)-750000)*0.15+MAX(0,A186-1500000)*0.17),(MAX(0,MIN(A186,400000)-225000)*0.06+MAX(0,MIN(A186,750000)-400000)*0.075+MAX(0,MIN(A186,1500000)-750000)*0.1+MAX(0,A186-1500000)*0.12))),0)))))+(Inputs!B14+Inputs!B15+Inputs!B16+Inputs!B17)+(Summary!B14)+(Summary!B15)+(((((A186)*Inputs!B20)+(IF(Inputs!B24="Yes",(Summary!B14)*Inputs!B25,0))*Inputs!B26)*Inputs!B21*Inputs!B10/12)+((((A186)*Inputs!B20)+(IF(Inputs!B24="Yes",(Summary!B14)*Inputs!B25,0)))*Inputs!B22)+((((A186)*Inputs!B20)+(IF(Inputs!B24="Yes",(Summary!B14)*Inputs!B25,0)))*Inputs!B23))+(Summary!B17)))</f>
        <v/>
      </c>
      <c r="C186" t="str">
        <f t="shared" si="5"/>
        <v/>
      </c>
    </row>
    <row r="187" spans="1:3" x14ac:dyDescent="0.2">
      <c r="A187" s="16">
        <f>$B$5+(176)*$B$7</f>
        <v>980000</v>
      </c>
      <c r="B187" s="16" t="str">
        <f>IF(A187&gt;$B$6,"",(Inputs!B6)-((A187)+(IF(Inputs!D13&lt;&gt;"",Inputs!D13,IF(Inputs!B7="England &amp; N. Ireland",(IF(Inputs!B8="First-time buyer",(IF(A187&lt;=500000,MAX(0,A187-300000)*0.05,(MAX(0,MIN(A187,250000)-125000)*0.02+MAX(0,MIN(A187,925000)-250000)*0.05+MAX(0,MIN(A187,1500000)-925000)*0.1+MAX(0,A187-1500000)*0.12))),(MAX(0,MIN(A187,250000)-125000)*0.02+MAX(0,MIN(A187,925000)-250000)*0.05+MAX(0,MIN(A187,1500000)-925000)*0.1+MAX(0,A187-1500000)*0.12)+IF(Inputs!B8="Additional / Investor",0.05*A187,0)+IF(Inputs!B9="Yes",0.02*A187,0))),IF(Inputs!B7="Scotland",((MAX(0,MIN(A187,250000)-145000)*0.02+MAX(0,MIN(A187,325000)-250000)*0.05+MAX(0,MIN(A187,750000)-325000)*0.1+MAX(0,A187-750000)*0.12)-IF(Inputs!B8="First-time buyer",(IF(A187&gt;145000,MIN(600,0.02*(MIN(A187,175000)-145000)),0)),0)+IF(Inputs!B8="Additional / Investor",0.08*A187,0)),IF(Inputs!B7="Wales",(IF(Inputs!B8="Additional / Investor",(MIN(A187,180000)*0.05+MAX(0,MIN(A187,250000)-180000)*0.085+MAX(0,MIN(A187,400000)-250000)*0.1+MAX(0,MIN(A187,750000)-400000)*0.125+MAX(0,MIN(A187,1500000)-750000)*0.15+MAX(0,A187-1500000)*0.17),(MAX(0,MIN(A187,400000)-225000)*0.06+MAX(0,MIN(A187,750000)-400000)*0.075+MAX(0,MIN(A187,1500000)-750000)*0.1+MAX(0,A187-1500000)*0.12))),0)))))+(Inputs!B14+Inputs!B15+Inputs!B16+Inputs!B17)+(Summary!B14)+(Summary!B15)+(((((A187)*Inputs!B20)+(IF(Inputs!B24="Yes",(Summary!B14)*Inputs!B25,0))*Inputs!B26)*Inputs!B21*Inputs!B10/12)+((((A187)*Inputs!B20)+(IF(Inputs!B24="Yes",(Summary!B14)*Inputs!B25,0)))*Inputs!B22)+((((A187)*Inputs!B20)+(IF(Inputs!B24="Yes",(Summary!B14)*Inputs!B25,0)))*Inputs!B23))+(Summary!B17)))</f>
        <v/>
      </c>
      <c r="C187" t="str">
        <f t="shared" si="5"/>
        <v/>
      </c>
    </row>
    <row r="188" spans="1:3" x14ac:dyDescent="0.2">
      <c r="A188" s="16">
        <f>$B$5+(177)*$B$7</f>
        <v>985000</v>
      </c>
      <c r="B188" s="16" t="str">
        <f>IF(A188&gt;$B$6,"",(Inputs!B6)-((A188)+(IF(Inputs!D13&lt;&gt;"",Inputs!D13,IF(Inputs!B7="England &amp; N. Ireland",(IF(Inputs!B8="First-time buyer",(IF(A188&lt;=500000,MAX(0,A188-300000)*0.05,(MAX(0,MIN(A188,250000)-125000)*0.02+MAX(0,MIN(A188,925000)-250000)*0.05+MAX(0,MIN(A188,1500000)-925000)*0.1+MAX(0,A188-1500000)*0.12))),(MAX(0,MIN(A188,250000)-125000)*0.02+MAX(0,MIN(A188,925000)-250000)*0.05+MAX(0,MIN(A188,1500000)-925000)*0.1+MAX(0,A188-1500000)*0.12)+IF(Inputs!B8="Additional / Investor",0.05*A188,0)+IF(Inputs!B9="Yes",0.02*A188,0))),IF(Inputs!B7="Scotland",((MAX(0,MIN(A188,250000)-145000)*0.02+MAX(0,MIN(A188,325000)-250000)*0.05+MAX(0,MIN(A188,750000)-325000)*0.1+MAX(0,A188-750000)*0.12)-IF(Inputs!B8="First-time buyer",(IF(A188&gt;145000,MIN(600,0.02*(MIN(A188,175000)-145000)),0)),0)+IF(Inputs!B8="Additional / Investor",0.08*A188,0)),IF(Inputs!B7="Wales",(IF(Inputs!B8="Additional / Investor",(MIN(A188,180000)*0.05+MAX(0,MIN(A188,250000)-180000)*0.085+MAX(0,MIN(A188,400000)-250000)*0.1+MAX(0,MIN(A188,750000)-400000)*0.125+MAX(0,MIN(A188,1500000)-750000)*0.15+MAX(0,A188-1500000)*0.17),(MAX(0,MIN(A188,400000)-225000)*0.06+MAX(0,MIN(A188,750000)-400000)*0.075+MAX(0,MIN(A188,1500000)-750000)*0.1+MAX(0,A188-1500000)*0.12))),0)))))+(Inputs!B14+Inputs!B15+Inputs!B16+Inputs!B17)+(Summary!B14)+(Summary!B15)+(((((A188)*Inputs!B20)+(IF(Inputs!B24="Yes",(Summary!B14)*Inputs!B25,0))*Inputs!B26)*Inputs!B21*Inputs!B10/12)+((((A188)*Inputs!B20)+(IF(Inputs!B24="Yes",(Summary!B14)*Inputs!B25,0)))*Inputs!B22)+((((A188)*Inputs!B20)+(IF(Inputs!B24="Yes",(Summary!B14)*Inputs!B25,0)))*Inputs!B23))+(Summary!B17)))</f>
        <v/>
      </c>
      <c r="C188" t="str">
        <f t="shared" si="5"/>
        <v/>
      </c>
    </row>
    <row r="189" spans="1:3" x14ac:dyDescent="0.2">
      <c r="A189" s="16">
        <f>$B$5+(178)*$B$7</f>
        <v>990000</v>
      </c>
      <c r="B189" s="16" t="str">
        <f>IF(A189&gt;$B$6,"",(Inputs!B6)-((A189)+(IF(Inputs!D13&lt;&gt;"",Inputs!D13,IF(Inputs!B7="England &amp; N. Ireland",(IF(Inputs!B8="First-time buyer",(IF(A189&lt;=500000,MAX(0,A189-300000)*0.05,(MAX(0,MIN(A189,250000)-125000)*0.02+MAX(0,MIN(A189,925000)-250000)*0.05+MAX(0,MIN(A189,1500000)-925000)*0.1+MAX(0,A189-1500000)*0.12))),(MAX(0,MIN(A189,250000)-125000)*0.02+MAX(0,MIN(A189,925000)-250000)*0.05+MAX(0,MIN(A189,1500000)-925000)*0.1+MAX(0,A189-1500000)*0.12)+IF(Inputs!B8="Additional / Investor",0.05*A189,0)+IF(Inputs!B9="Yes",0.02*A189,0))),IF(Inputs!B7="Scotland",((MAX(0,MIN(A189,250000)-145000)*0.02+MAX(0,MIN(A189,325000)-250000)*0.05+MAX(0,MIN(A189,750000)-325000)*0.1+MAX(0,A189-750000)*0.12)-IF(Inputs!B8="First-time buyer",(IF(A189&gt;145000,MIN(600,0.02*(MIN(A189,175000)-145000)),0)),0)+IF(Inputs!B8="Additional / Investor",0.08*A189,0)),IF(Inputs!B7="Wales",(IF(Inputs!B8="Additional / Investor",(MIN(A189,180000)*0.05+MAX(0,MIN(A189,250000)-180000)*0.085+MAX(0,MIN(A189,400000)-250000)*0.1+MAX(0,MIN(A189,750000)-400000)*0.125+MAX(0,MIN(A189,1500000)-750000)*0.15+MAX(0,A189-1500000)*0.17),(MAX(0,MIN(A189,400000)-225000)*0.06+MAX(0,MIN(A189,750000)-400000)*0.075+MAX(0,MIN(A189,1500000)-750000)*0.1+MAX(0,A189-1500000)*0.12))),0)))))+(Inputs!B14+Inputs!B15+Inputs!B16+Inputs!B17)+(Summary!B14)+(Summary!B15)+(((((A189)*Inputs!B20)+(IF(Inputs!B24="Yes",(Summary!B14)*Inputs!B25,0))*Inputs!B26)*Inputs!B21*Inputs!B10/12)+((((A189)*Inputs!B20)+(IF(Inputs!B24="Yes",(Summary!B14)*Inputs!B25,0)))*Inputs!B22)+((((A189)*Inputs!B20)+(IF(Inputs!B24="Yes",(Summary!B14)*Inputs!B25,0)))*Inputs!B23))+(Summary!B17)))</f>
        <v/>
      </c>
      <c r="C189" t="str">
        <f t="shared" si="5"/>
        <v/>
      </c>
    </row>
    <row r="190" spans="1:3" x14ac:dyDescent="0.2">
      <c r="A190" s="16">
        <f>$B$5+(179)*$B$7</f>
        <v>995000</v>
      </c>
      <c r="B190" s="16" t="str">
        <f>IF(A190&gt;$B$6,"",(Inputs!B6)-((A190)+(IF(Inputs!D13&lt;&gt;"",Inputs!D13,IF(Inputs!B7="England &amp; N. Ireland",(IF(Inputs!B8="First-time buyer",(IF(A190&lt;=500000,MAX(0,A190-300000)*0.05,(MAX(0,MIN(A190,250000)-125000)*0.02+MAX(0,MIN(A190,925000)-250000)*0.05+MAX(0,MIN(A190,1500000)-925000)*0.1+MAX(0,A190-1500000)*0.12))),(MAX(0,MIN(A190,250000)-125000)*0.02+MAX(0,MIN(A190,925000)-250000)*0.05+MAX(0,MIN(A190,1500000)-925000)*0.1+MAX(0,A190-1500000)*0.12)+IF(Inputs!B8="Additional / Investor",0.05*A190,0)+IF(Inputs!B9="Yes",0.02*A190,0))),IF(Inputs!B7="Scotland",((MAX(0,MIN(A190,250000)-145000)*0.02+MAX(0,MIN(A190,325000)-250000)*0.05+MAX(0,MIN(A190,750000)-325000)*0.1+MAX(0,A190-750000)*0.12)-IF(Inputs!B8="First-time buyer",(IF(A190&gt;145000,MIN(600,0.02*(MIN(A190,175000)-145000)),0)),0)+IF(Inputs!B8="Additional / Investor",0.08*A190,0)),IF(Inputs!B7="Wales",(IF(Inputs!B8="Additional / Investor",(MIN(A190,180000)*0.05+MAX(0,MIN(A190,250000)-180000)*0.085+MAX(0,MIN(A190,400000)-250000)*0.1+MAX(0,MIN(A190,750000)-400000)*0.125+MAX(0,MIN(A190,1500000)-750000)*0.15+MAX(0,A190-1500000)*0.17),(MAX(0,MIN(A190,400000)-225000)*0.06+MAX(0,MIN(A190,750000)-400000)*0.075+MAX(0,MIN(A190,1500000)-750000)*0.1+MAX(0,A190-1500000)*0.12))),0)))))+(Inputs!B14+Inputs!B15+Inputs!B16+Inputs!B17)+(Summary!B14)+(Summary!B15)+(((((A190)*Inputs!B20)+(IF(Inputs!B24="Yes",(Summary!B14)*Inputs!B25,0))*Inputs!B26)*Inputs!B21*Inputs!B10/12)+((((A190)*Inputs!B20)+(IF(Inputs!B24="Yes",(Summary!B14)*Inputs!B25,0)))*Inputs!B22)+((((A190)*Inputs!B20)+(IF(Inputs!B24="Yes",(Summary!B14)*Inputs!B25,0)))*Inputs!B23))+(Summary!B17)))</f>
        <v/>
      </c>
      <c r="C190" t="str">
        <f t="shared" si="5"/>
        <v/>
      </c>
    </row>
    <row r="191" spans="1:3" x14ac:dyDescent="0.2">
      <c r="A191" s="16">
        <f>$B$5+(180)*$B$7</f>
        <v>1000000</v>
      </c>
      <c r="B191" s="16" t="str">
        <f>IF(A191&gt;$B$6,"",(Inputs!B6)-((A191)+(IF(Inputs!D13&lt;&gt;"",Inputs!D13,IF(Inputs!B7="England &amp; N. Ireland",(IF(Inputs!B8="First-time buyer",(IF(A191&lt;=500000,MAX(0,A191-300000)*0.05,(MAX(0,MIN(A191,250000)-125000)*0.02+MAX(0,MIN(A191,925000)-250000)*0.05+MAX(0,MIN(A191,1500000)-925000)*0.1+MAX(0,A191-1500000)*0.12))),(MAX(0,MIN(A191,250000)-125000)*0.02+MAX(0,MIN(A191,925000)-250000)*0.05+MAX(0,MIN(A191,1500000)-925000)*0.1+MAX(0,A191-1500000)*0.12)+IF(Inputs!B8="Additional / Investor",0.05*A191,0)+IF(Inputs!B9="Yes",0.02*A191,0))),IF(Inputs!B7="Scotland",((MAX(0,MIN(A191,250000)-145000)*0.02+MAX(0,MIN(A191,325000)-250000)*0.05+MAX(0,MIN(A191,750000)-325000)*0.1+MAX(0,A191-750000)*0.12)-IF(Inputs!B8="First-time buyer",(IF(A191&gt;145000,MIN(600,0.02*(MIN(A191,175000)-145000)),0)),0)+IF(Inputs!B8="Additional / Investor",0.08*A191,0)),IF(Inputs!B7="Wales",(IF(Inputs!B8="Additional / Investor",(MIN(A191,180000)*0.05+MAX(0,MIN(A191,250000)-180000)*0.085+MAX(0,MIN(A191,400000)-250000)*0.1+MAX(0,MIN(A191,750000)-400000)*0.125+MAX(0,MIN(A191,1500000)-750000)*0.15+MAX(0,A191-1500000)*0.17),(MAX(0,MIN(A191,400000)-225000)*0.06+MAX(0,MIN(A191,750000)-400000)*0.075+MAX(0,MIN(A191,1500000)-750000)*0.1+MAX(0,A191-1500000)*0.12))),0)))))+(Inputs!B14+Inputs!B15+Inputs!B16+Inputs!B17)+(Summary!B14)+(Summary!B15)+(((((A191)*Inputs!B20)+(IF(Inputs!B24="Yes",(Summary!B14)*Inputs!B25,0))*Inputs!B26)*Inputs!B21*Inputs!B10/12)+((((A191)*Inputs!B20)+(IF(Inputs!B24="Yes",(Summary!B14)*Inputs!B25,0)))*Inputs!B22)+((((A191)*Inputs!B20)+(IF(Inputs!B24="Yes",(Summary!B14)*Inputs!B25,0)))*Inputs!B23))+(Summary!B17)))</f>
        <v/>
      </c>
      <c r="C191" t="str">
        <f t="shared" si="5"/>
        <v/>
      </c>
    </row>
    <row r="192" spans="1:3" x14ac:dyDescent="0.2">
      <c r="A192" s="16">
        <f>$B$5+(181)*$B$7</f>
        <v>1005000</v>
      </c>
      <c r="B192" s="16" t="str">
        <f>IF(A192&gt;$B$6,"",(Inputs!B6)-((A192)+(IF(Inputs!D13&lt;&gt;"",Inputs!D13,IF(Inputs!B7="England &amp; N. Ireland",(IF(Inputs!B8="First-time buyer",(IF(A192&lt;=500000,MAX(0,A192-300000)*0.05,(MAX(0,MIN(A192,250000)-125000)*0.02+MAX(0,MIN(A192,925000)-250000)*0.05+MAX(0,MIN(A192,1500000)-925000)*0.1+MAX(0,A192-1500000)*0.12))),(MAX(0,MIN(A192,250000)-125000)*0.02+MAX(0,MIN(A192,925000)-250000)*0.05+MAX(0,MIN(A192,1500000)-925000)*0.1+MAX(0,A192-1500000)*0.12)+IF(Inputs!B8="Additional / Investor",0.05*A192,0)+IF(Inputs!B9="Yes",0.02*A192,0))),IF(Inputs!B7="Scotland",((MAX(0,MIN(A192,250000)-145000)*0.02+MAX(0,MIN(A192,325000)-250000)*0.05+MAX(0,MIN(A192,750000)-325000)*0.1+MAX(0,A192-750000)*0.12)-IF(Inputs!B8="First-time buyer",(IF(A192&gt;145000,MIN(600,0.02*(MIN(A192,175000)-145000)),0)),0)+IF(Inputs!B8="Additional / Investor",0.08*A192,0)),IF(Inputs!B7="Wales",(IF(Inputs!B8="Additional / Investor",(MIN(A192,180000)*0.05+MAX(0,MIN(A192,250000)-180000)*0.085+MAX(0,MIN(A192,400000)-250000)*0.1+MAX(0,MIN(A192,750000)-400000)*0.125+MAX(0,MIN(A192,1500000)-750000)*0.15+MAX(0,A192-1500000)*0.17),(MAX(0,MIN(A192,400000)-225000)*0.06+MAX(0,MIN(A192,750000)-400000)*0.075+MAX(0,MIN(A192,1500000)-750000)*0.1+MAX(0,A192-1500000)*0.12))),0)))))+(Inputs!B14+Inputs!B15+Inputs!B16+Inputs!B17)+(Summary!B14)+(Summary!B15)+(((((A192)*Inputs!B20)+(IF(Inputs!B24="Yes",(Summary!B14)*Inputs!B25,0))*Inputs!B26)*Inputs!B21*Inputs!B10/12)+((((A192)*Inputs!B20)+(IF(Inputs!B24="Yes",(Summary!B14)*Inputs!B25,0)))*Inputs!B22)+((((A192)*Inputs!B20)+(IF(Inputs!B24="Yes",(Summary!B14)*Inputs!B25,0)))*Inputs!B23))+(Summary!B17)))</f>
        <v/>
      </c>
      <c r="C192" t="str">
        <f t="shared" si="5"/>
        <v/>
      </c>
    </row>
    <row r="193" spans="1:3" x14ac:dyDescent="0.2">
      <c r="A193" s="16">
        <f>$B$5+(182)*$B$7</f>
        <v>1010000</v>
      </c>
      <c r="B193" s="16" t="str">
        <f>IF(A193&gt;$B$6,"",(Inputs!B6)-((A193)+(IF(Inputs!D13&lt;&gt;"",Inputs!D13,IF(Inputs!B7="England &amp; N. Ireland",(IF(Inputs!B8="First-time buyer",(IF(A193&lt;=500000,MAX(0,A193-300000)*0.05,(MAX(0,MIN(A193,250000)-125000)*0.02+MAX(0,MIN(A193,925000)-250000)*0.05+MAX(0,MIN(A193,1500000)-925000)*0.1+MAX(0,A193-1500000)*0.12))),(MAX(0,MIN(A193,250000)-125000)*0.02+MAX(0,MIN(A193,925000)-250000)*0.05+MAX(0,MIN(A193,1500000)-925000)*0.1+MAX(0,A193-1500000)*0.12)+IF(Inputs!B8="Additional / Investor",0.05*A193,0)+IF(Inputs!B9="Yes",0.02*A193,0))),IF(Inputs!B7="Scotland",((MAX(0,MIN(A193,250000)-145000)*0.02+MAX(0,MIN(A193,325000)-250000)*0.05+MAX(0,MIN(A193,750000)-325000)*0.1+MAX(0,A193-750000)*0.12)-IF(Inputs!B8="First-time buyer",(IF(A193&gt;145000,MIN(600,0.02*(MIN(A193,175000)-145000)),0)),0)+IF(Inputs!B8="Additional / Investor",0.08*A193,0)),IF(Inputs!B7="Wales",(IF(Inputs!B8="Additional / Investor",(MIN(A193,180000)*0.05+MAX(0,MIN(A193,250000)-180000)*0.085+MAX(0,MIN(A193,400000)-250000)*0.1+MAX(0,MIN(A193,750000)-400000)*0.125+MAX(0,MIN(A193,1500000)-750000)*0.15+MAX(0,A193-1500000)*0.17),(MAX(0,MIN(A193,400000)-225000)*0.06+MAX(0,MIN(A193,750000)-400000)*0.075+MAX(0,MIN(A193,1500000)-750000)*0.1+MAX(0,A193-1500000)*0.12))),0)))))+(Inputs!B14+Inputs!B15+Inputs!B16+Inputs!B17)+(Summary!B14)+(Summary!B15)+(((((A193)*Inputs!B20)+(IF(Inputs!B24="Yes",(Summary!B14)*Inputs!B25,0))*Inputs!B26)*Inputs!B21*Inputs!B10/12)+((((A193)*Inputs!B20)+(IF(Inputs!B24="Yes",(Summary!B14)*Inputs!B25,0)))*Inputs!B22)+((((A193)*Inputs!B20)+(IF(Inputs!B24="Yes",(Summary!B14)*Inputs!B25,0)))*Inputs!B23))+(Summary!B17)))</f>
        <v/>
      </c>
      <c r="C193" t="str">
        <f t="shared" si="5"/>
        <v/>
      </c>
    </row>
    <row r="194" spans="1:3" x14ac:dyDescent="0.2">
      <c r="A194" s="16">
        <f>$B$5+(183)*$B$7</f>
        <v>1015000</v>
      </c>
      <c r="B194" s="16" t="str">
        <f>IF(A194&gt;$B$6,"",(Inputs!B6)-((A194)+(IF(Inputs!D13&lt;&gt;"",Inputs!D13,IF(Inputs!B7="England &amp; N. Ireland",(IF(Inputs!B8="First-time buyer",(IF(A194&lt;=500000,MAX(0,A194-300000)*0.05,(MAX(0,MIN(A194,250000)-125000)*0.02+MAX(0,MIN(A194,925000)-250000)*0.05+MAX(0,MIN(A194,1500000)-925000)*0.1+MAX(0,A194-1500000)*0.12))),(MAX(0,MIN(A194,250000)-125000)*0.02+MAX(0,MIN(A194,925000)-250000)*0.05+MAX(0,MIN(A194,1500000)-925000)*0.1+MAX(0,A194-1500000)*0.12)+IF(Inputs!B8="Additional / Investor",0.05*A194,0)+IF(Inputs!B9="Yes",0.02*A194,0))),IF(Inputs!B7="Scotland",((MAX(0,MIN(A194,250000)-145000)*0.02+MAX(0,MIN(A194,325000)-250000)*0.05+MAX(0,MIN(A194,750000)-325000)*0.1+MAX(0,A194-750000)*0.12)-IF(Inputs!B8="First-time buyer",(IF(A194&gt;145000,MIN(600,0.02*(MIN(A194,175000)-145000)),0)),0)+IF(Inputs!B8="Additional / Investor",0.08*A194,0)),IF(Inputs!B7="Wales",(IF(Inputs!B8="Additional / Investor",(MIN(A194,180000)*0.05+MAX(0,MIN(A194,250000)-180000)*0.085+MAX(0,MIN(A194,400000)-250000)*0.1+MAX(0,MIN(A194,750000)-400000)*0.125+MAX(0,MIN(A194,1500000)-750000)*0.15+MAX(0,A194-1500000)*0.17),(MAX(0,MIN(A194,400000)-225000)*0.06+MAX(0,MIN(A194,750000)-400000)*0.075+MAX(0,MIN(A194,1500000)-750000)*0.1+MAX(0,A194-1500000)*0.12))),0)))))+(Inputs!B14+Inputs!B15+Inputs!B16+Inputs!B17)+(Summary!B14)+(Summary!B15)+(((((A194)*Inputs!B20)+(IF(Inputs!B24="Yes",(Summary!B14)*Inputs!B25,0))*Inputs!B26)*Inputs!B21*Inputs!B10/12)+((((A194)*Inputs!B20)+(IF(Inputs!B24="Yes",(Summary!B14)*Inputs!B25,0)))*Inputs!B22)+((((A194)*Inputs!B20)+(IF(Inputs!B24="Yes",(Summary!B14)*Inputs!B25,0)))*Inputs!B23))+(Summary!B17)))</f>
        <v/>
      </c>
      <c r="C194" t="str">
        <f t="shared" si="5"/>
        <v/>
      </c>
    </row>
    <row r="195" spans="1:3" x14ac:dyDescent="0.2">
      <c r="A195" s="16">
        <f>$B$5+(184)*$B$7</f>
        <v>1020000</v>
      </c>
      <c r="B195" s="16" t="str">
        <f>IF(A195&gt;$B$6,"",(Inputs!B6)-((A195)+(IF(Inputs!D13&lt;&gt;"",Inputs!D13,IF(Inputs!B7="England &amp; N. Ireland",(IF(Inputs!B8="First-time buyer",(IF(A195&lt;=500000,MAX(0,A195-300000)*0.05,(MAX(0,MIN(A195,250000)-125000)*0.02+MAX(0,MIN(A195,925000)-250000)*0.05+MAX(0,MIN(A195,1500000)-925000)*0.1+MAX(0,A195-1500000)*0.12))),(MAX(0,MIN(A195,250000)-125000)*0.02+MAX(0,MIN(A195,925000)-250000)*0.05+MAX(0,MIN(A195,1500000)-925000)*0.1+MAX(0,A195-1500000)*0.12)+IF(Inputs!B8="Additional / Investor",0.05*A195,0)+IF(Inputs!B9="Yes",0.02*A195,0))),IF(Inputs!B7="Scotland",((MAX(0,MIN(A195,250000)-145000)*0.02+MAX(0,MIN(A195,325000)-250000)*0.05+MAX(0,MIN(A195,750000)-325000)*0.1+MAX(0,A195-750000)*0.12)-IF(Inputs!B8="First-time buyer",(IF(A195&gt;145000,MIN(600,0.02*(MIN(A195,175000)-145000)),0)),0)+IF(Inputs!B8="Additional / Investor",0.08*A195,0)),IF(Inputs!B7="Wales",(IF(Inputs!B8="Additional / Investor",(MIN(A195,180000)*0.05+MAX(0,MIN(A195,250000)-180000)*0.085+MAX(0,MIN(A195,400000)-250000)*0.1+MAX(0,MIN(A195,750000)-400000)*0.125+MAX(0,MIN(A195,1500000)-750000)*0.15+MAX(0,A195-1500000)*0.17),(MAX(0,MIN(A195,400000)-225000)*0.06+MAX(0,MIN(A195,750000)-400000)*0.075+MAX(0,MIN(A195,1500000)-750000)*0.1+MAX(0,A195-1500000)*0.12))),0)))))+(Inputs!B14+Inputs!B15+Inputs!B16+Inputs!B17)+(Summary!B14)+(Summary!B15)+(((((A195)*Inputs!B20)+(IF(Inputs!B24="Yes",(Summary!B14)*Inputs!B25,0))*Inputs!B26)*Inputs!B21*Inputs!B10/12)+((((A195)*Inputs!B20)+(IF(Inputs!B24="Yes",(Summary!B14)*Inputs!B25,0)))*Inputs!B22)+((((A195)*Inputs!B20)+(IF(Inputs!B24="Yes",(Summary!B14)*Inputs!B25,0)))*Inputs!B23))+(Summary!B17)))</f>
        <v/>
      </c>
      <c r="C195" t="str">
        <f t="shared" si="5"/>
        <v/>
      </c>
    </row>
    <row r="196" spans="1:3" x14ac:dyDescent="0.2">
      <c r="A196" s="16">
        <f>$B$5+(185)*$B$7</f>
        <v>1025000</v>
      </c>
      <c r="B196" s="16" t="str">
        <f>IF(A196&gt;$B$6,"",(Inputs!B6)-((A196)+(IF(Inputs!D13&lt;&gt;"",Inputs!D13,IF(Inputs!B7="England &amp; N. Ireland",(IF(Inputs!B8="First-time buyer",(IF(A196&lt;=500000,MAX(0,A196-300000)*0.05,(MAX(0,MIN(A196,250000)-125000)*0.02+MAX(0,MIN(A196,925000)-250000)*0.05+MAX(0,MIN(A196,1500000)-925000)*0.1+MAX(0,A196-1500000)*0.12))),(MAX(0,MIN(A196,250000)-125000)*0.02+MAX(0,MIN(A196,925000)-250000)*0.05+MAX(0,MIN(A196,1500000)-925000)*0.1+MAX(0,A196-1500000)*0.12)+IF(Inputs!B8="Additional / Investor",0.05*A196,0)+IF(Inputs!B9="Yes",0.02*A196,0))),IF(Inputs!B7="Scotland",((MAX(0,MIN(A196,250000)-145000)*0.02+MAX(0,MIN(A196,325000)-250000)*0.05+MAX(0,MIN(A196,750000)-325000)*0.1+MAX(0,A196-750000)*0.12)-IF(Inputs!B8="First-time buyer",(IF(A196&gt;145000,MIN(600,0.02*(MIN(A196,175000)-145000)),0)),0)+IF(Inputs!B8="Additional / Investor",0.08*A196,0)),IF(Inputs!B7="Wales",(IF(Inputs!B8="Additional / Investor",(MIN(A196,180000)*0.05+MAX(0,MIN(A196,250000)-180000)*0.085+MAX(0,MIN(A196,400000)-250000)*0.1+MAX(0,MIN(A196,750000)-400000)*0.125+MAX(0,MIN(A196,1500000)-750000)*0.15+MAX(0,A196-1500000)*0.17),(MAX(0,MIN(A196,400000)-225000)*0.06+MAX(0,MIN(A196,750000)-400000)*0.075+MAX(0,MIN(A196,1500000)-750000)*0.1+MAX(0,A196-1500000)*0.12))),0)))))+(Inputs!B14+Inputs!B15+Inputs!B16+Inputs!B17)+(Summary!B14)+(Summary!B15)+(((((A196)*Inputs!B20)+(IF(Inputs!B24="Yes",(Summary!B14)*Inputs!B25,0))*Inputs!B26)*Inputs!B21*Inputs!B10/12)+((((A196)*Inputs!B20)+(IF(Inputs!B24="Yes",(Summary!B14)*Inputs!B25,0)))*Inputs!B22)+((((A196)*Inputs!B20)+(IF(Inputs!B24="Yes",(Summary!B14)*Inputs!B25,0)))*Inputs!B23))+(Summary!B17)))</f>
        <v/>
      </c>
      <c r="C196" t="str">
        <f t="shared" si="5"/>
        <v/>
      </c>
    </row>
    <row r="197" spans="1:3" x14ac:dyDescent="0.2">
      <c r="A197" s="16">
        <f>$B$5+(186)*$B$7</f>
        <v>1030000</v>
      </c>
      <c r="B197" s="16" t="str">
        <f>IF(A197&gt;$B$6,"",(Inputs!B6)-((A197)+(IF(Inputs!D13&lt;&gt;"",Inputs!D13,IF(Inputs!B7="England &amp; N. Ireland",(IF(Inputs!B8="First-time buyer",(IF(A197&lt;=500000,MAX(0,A197-300000)*0.05,(MAX(0,MIN(A197,250000)-125000)*0.02+MAX(0,MIN(A197,925000)-250000)*0.05+MAX(0,MIN(A197,1500000)-925000)*0.1+MAX(0,A197-1500000)*0.12))),(MAX(0,MIN(A197,250000)-125000)*0.02+MAX(0,MIN(A197,925000)-250000)*0.05+MAX(0,MIN(A197,1500000)-925000)*0.1+MAX(0,A197-1500000)*0.12)+IF(Inputs!B8="Additional / Investor",0.05*A197,0)+IF(Inputs!B9="Yes",0.02*A197,0))),IF(Inputs!B7="Scotland",((MAX(0,MIN(A197,250000)-145000)*0.02+MAX(0,MIN(A197,325000)-250000)*0.05+MAX(0,MIN(A197,750000)-325000)*0.1+MAX(0,A197-750000)*0.12)-IF(Inputs!B8="First-time buyer",(IF(A197&gt;145000,MIN(600,0.02*(MIN(A197,175000)-145000)),0)),0)+IF(Inputs!B8="Additional / Investor",0.08*A197,0)),IF(Inputs!B7="Wales",(IF(Inputs!B8="Additional / Investor",(MIN(A197,180000)*0.05+MAX(0,MIN(A197,250000)-180000)*0.085+MAX(0,MIN(A197,400000)-250000)*0.1+MAX(0,MIN(A197,750000)-400000)*0.125+MAX(0,MIN(A197,1500000)-750000)*0.15+MAX(0,A197-1500000)*0.17),(MAX(0,MIN(A197,400000)-225000)*0.06+MAX(0,MIN(A197,750000)-400000)*0.075+MAX(0,MIN(A197,1500000)-750000)*0.1+MAX(0,A197-1500000)*0.12))),0)))))+(Inputs!B14+Inputs!B15+Inputs!B16+Inputs!B17)+(Summary!B14)+(Summary!B15)+(((((A197)*Inputs!B20)+(IF(Inputs!B24="Yes",(Summary!B14)*Inputs!B25,0))*Inputs!B26)*Inputs!B21*Inputs!B10/12)+((((A197)*Inputs!B20)+(IF(Inputs!B24="Yes",(Summary!B14)*Inputs!B25,0)))*Inputs!B22)+((((A197)*Inputs!B20)+(IF(Inputs!B24="Yes",(Summary!B14)*Inputs!B25,0)))*Inputs!B23))+(Summary!B17)))</f>
        <v/>
      </c>
      <c r="C197" t="str">
        <f t="shared" si="5"/>
        <v/>
      </c>
    </row>
    <row r="198" spans="1:3" x14ac:dyDescent="0.2">
      <c r="A198" s="16">
        <f>$B$5+(187)*$B$7</f>
        <v>1035000</v>
      </c>
      <c r="B198" s="16" t="str">
        <f>IF(A198&gt;$B$6,"",(Inputs!B6)-((A198)+(IF(Inputs!D13&lt;&gt;"",Inputs!D13,IF(Inputs!B7="England &amp; N. Ireland",(IF(Inputs!B8="First-time buyer",(IF(A198&lt;=500000,MAX(0,A198-300000)*0.05,(MAX(0,MIN(A198,250000)-125000)*0.02+MAX(0,MIN(A198,925000)-250000)*0.05+MAX(0,MIN(A198,1500000)-925000)*0.1+MAX(0,A198-1500000)*0.12))),(MAX(0,MIN(A198,250000)-125000)*0.02+MAX(0,MIN(A198,925000)-250000)*0.05+MAX(0,MIN(A198,1500000)-925000)*0.1+MAX(0,A198-1500000)*0.12)+IF(Inputs!B8="Additional / Investor",0.05*A198,0)+IF(Inputs!B9="Yes",0.02*A198,0))),IF(Inputs!B7="Scotland",((MAX(0,MIN(A198,250000)-145000)*0.02+MAX(0,MIN(A198,325000)-250000)*0.05+MAX(0,MIN(A198,750000)-325000)*0.1+MAX(0,A198-750000)*0.12)-IF(Inputs!B8="First-time buyer",(IF(A198&gt;145000,MIN(600,0.02*(MIN(A198,175000)-145000)),0)),0)+IF(Inputs!B8="Additional / Investor",0.08*A198,0)),IF(Inputs!B7="Wales",(IF(Inputs!B8="Additional / Investor",(MIN(A198,180000)*0.05+MAX(0,MIN(A198,250000)-180000)*0.085+MAX(0,MIN(A198,400000)-250000)*0.1+MAX(0,MIN(A198,750000)-400000)*0.125+MAX(0,MIN(A198,1500000)-750000)*0.15+MAX(0,A198-1500000)*0.17),(MAX(0,MIN(A198,400000)-225000)*0.06+MAX(0,MIN(A198,750000)-400000)*0.075+MAX(0,MIN(A198,1500000)-750000)*0.1+MAX(0,A198-1500000)*0.12))),0)))))+(Inputs!B14+Inputs!B15+Inputs!B16+Inputs!B17)+(Summary!B14)+(Summary!B15)+(((((A198)*Inputs!B20)+(IF(Inputs!B24="Yes",(Summary!B14)*Inputs!B25,0))*Inputs!B26)*Inputs!B21*Inputs!B10/12)+((((A198)*Inputs!B20)+(IF(Inputs!B24="Yes",(Summary!B14)*Inputs!B25,0)))*Inputs!B22)+((((A198)*Inputs!B20)+(IF(Inputs!B24="Yes",(Summary!B14)*Inputs!B25,0)))*Inputs!B23))+(Summary!B17)))</f>
        <v/>
      </c>
      <c r="C198" t="str">
        <f t="shared" si="5"/>
        <v/>
      </c>
    </row>
    <row r="199" spans="1:3" x14ac:dyDescent="0.2">
      <c r="A199" s="16">
        <f>$B$5+(188)*$B$7</f>
        <v>1040000</v>
      </c>
      <c r="B199" s="16" t="str">
        <f>IF(A199&gt;$B$6,"",(Inputs!B6)-((A199)+(IF(Inputs!D13&lt;&gt;"",Inputs!D13,IF(Inputs!B7="England &amp; N. Ireland",(IF(Inputs!B8="First-time buyer",(IF(A199&lt;=500000,MAX(0,A199-300000)*0.05,(MAX(0,MIN(A199,250000)-125000)*0.02+MAX(0,MIN(A199,925000)-250000)*0.05+MAX(0,MIN(A199,1500000)-925000)*0.1+MAX(0,A199-1500000)*0.12))),(MAX(0,MIN(A199,250000)-125000)*0.02+MAX(0,MIN(A199,925000)-250000)*0.05+MAX(0,MIN(A199,1500000)-925000)*0.1+MAX(0,A199-1500000)*0.12)+IF(Inputs!B8="Additional / Investor",0.05*A199,0)+IF(Inputs!B9="Yes",0.02*A199,0))),IF(Inputs!B7="Scotland",((MAX(0,MIN(A199,250000)-145000)*0.02+MAX(0,MIN(A199,325000)-250000)*0.05+MAX(0,MIN(A199,750000)-325000)*0.1+MAX(0,A199-750000)*0.12)-IF(Inputs!B8="First-time buyer",(IF(A199&gt;145000,MIN(600,0.02*(MIN(A199,175000)-145000)),0)),0)+IF(Inputs!B8="Additional / Investor",0.08*A199,0)),IF(Inputs!B7="Wales",(IF(Inputs!B8="Additional / Investor",(MIN(A199,180000)*0.05+MAX(0,MIN(A199,250000)-180000)*0.085+MAX(0,MIN(A199,400000)-250000)*0.1+MAX(0,MIN(A199,750000)-400000)*0.125+MAX(0,MIN(A199,1500000)-750000)*0.15+MAX(0,A199-1500000)*0.17),(MAX(0,MIN(A199,400000)-225000)*0.06+MAX(0,MIN(A199,750000)-400000)*0.075+MAX(0,MIN(A199,1500000)-750000)*0.1+MAX(0,A199-1500000)*0.12))),0)))))+(Inputs!B14+Inputs!B15+Inputs!B16+Inputs!B17)+(Summary!B14)+(Summary!B15)+(((((A199)*Inputs!B20)+(IF(Inputs!B24="Yes",(Summary!B14)*Inputs!B25,0))*Inputs!B26)*Inputs!B21*Inputs!B10/12)+((((A199)*Inputs!B20)+(IF(Inputs!B24="Yes",(Summary!B14)*Inputs!B25,0)))*Inputs!B22)+((((A199)*Inputs!B20)+(IF(Inputs!B24="Yes",(Summary!B14)*Inputs!B25,0)))*Inputs!B23))+(Summary!B17)))</f>
        <v/>
      </c>
      <c r="C199" t="str">
        <f t="shared" si="5"/>
        <v/>
      </c>
    </row>
    <row r="200" spans="1:3" x14ac:dyDescent="0.2">
      <c r="A200" s="16">
        <f>$B$5+(189)*$B$7</f>
        <v>1045000</v>
      </c>
      <c r="B200" s="16" t="str">
        <f>IF(A200&gt;$B$6,"",(Inputs!B6)-((A200)+(IF(Inputs!D13&lt;&gt;"",Inputs!D13,IF(Inputs!B7="England &amp; N. Ireland",(IF(Inputs!B8="First-time buyer",(IF(A200&lt;=500000,MAX(0,A200-300000)*0.05,(MAX(0,MIN(A200,250000)-125000)*0.02+MAX(0,MIN(A200,925000)-250000)*0.05+MAX(0,MIN(A200,1500000)-925000)*0.1+MAX(0,A200-1500000)*0.12))),(MAX(0,MIN(A200,250000)-125000)*0.02+MAX(0,MIN(A200,925000)-250000)*0.05+MAX(0,MIN(A200,1500000)-925000)*0.1+MAX(0,A200-1500000)*0.12)+IF(Inputs!B8="Additional / Investor",0.05*A200,0)+IF(Inputs!B9="Yes",0.02*A200,0))),IF(Inputs!B7="Scotland",((MAX(0,MIN(A200,250000)-145000)*0.02+MAX(0,MIN(A200,325000)-250000)*0.05+MAX(0,MIN(A200,750000)-325000)*0.1+MAX(0,A200-750000)*0.12)-IF(Inputs!B8="First-time buyer",(IF(A200&gt;145000,MIN(600,0.02*(MIN(A200,175000)-145000)),0)),0)+IF(Inputs!B8="Additional / Investor",0.08*A200,0)),IF(Inputs!B7="Wales",(IF(Inputs!B8="Additional / Investor",(MIN(A200,180000)*0.05+MAX(0,MIN(A200,250000)-180000)*0.085+MAX(0,MIN(A200,400000)-250000)*0.1+MAX(0,MIN(A200,750000)-400000)*0.125+MAX(0,MIN(A200,1500000)-750000)*0.15+MAX(0,A200-1500000)*0.17),(MAX(0,MIN(A200,400000)-225000)*0.06+MAX(0,MIN(A200,750000)-400000)*0.075+MAX(0,MIN(A200,1500000)-750000)*0.1+MAX(0,A200-1500000)*0.12))),0)))))+(Inputs!B14+Inputs!B15+Inputs!B16+Inputs!B17)+(Summary!B14)+(Summary!B15)+(((((A200)*Inputs!B20)+(IF(Inputs!B24="Yes",(Summary!B14)*Inputs!B25,0))*Inputs!B26)*Inputs!B21*Inputs!B10/12)+((((A200)*Inputs!B20)+(IF(Inputs!B24="Yes",(Summary!B14)*Inputs!B25,0)))*Inputs!B22)+((((A200)*Inputs!B20)+(IF(Inputs!B24="Yes",(Summary!B14)*Inputs!B25,0)))*Inputs!B23))+(Summary!B17)))</f>
        <v/>
      </c>
      <c r="C200" t="str">
        <f t="shared" si="5"/>
        <v/>
      </c>
    </row>
    <row r="201" spans="1:3" x14ac:dyDescent="0.2">
      <c r="A201" s="16">
        <f>$B$5+(190)*$B$7</f>
        <v>1050000</v>
      </c>
      <c r="B201" s="16" t="str">
        <f>IF(A201&gt;$B$6,"",(Inputs!B6)-((A201)+(IF(Inputs!D13&lt;&gt;"",Inputs!D13,IF(Inputs!B7="England &amp; N. Ireland",(IF(Inputs!B8="First-time buyer",(IF(A201&lt;=500000,MAX(0,A201-300000)*0.05,(MAX(0,MIN(A201,250000)-125000)*0.02+MAX(0,MIN(A201,925000)-250000)*0.05+MAX(0,MIN(A201,1500000)-925000)*0.1+MAX(0,A201-1500000)*0.12))),(MAX(0,MIN(A201,250000)-125000)*0.02+MAX(0,MIN(A201,925000)-250000)*0.05+MAX(0,MIN(A201,1500000)-925000)*0.1+MAX(0,A201-1500000)*0.12)+IF(Inputs!B8="Additional / Investor",0.05*A201,0)+IF(Inputs!B9="Yes",0.02*A201,0))),IF(Inputs!B7="Scotland",((MAX(0,MIN(A201,250000)-145000)*0.02+MAX(0,MIN(A201,325000)-250000)*0.05+MAX(0,MIN(A201,750000)-325000)*0.1+MAX(0,A201-750000)*0.12)-IF(Inputs!B8="First-time buyer",(IF(A201&gt;145000,MIN(600,0.02*(MIN(A201,175000)-145000)),0)),0)+IF(Inputs!B8="Additional / Investor",0.08*A201,0)),IF(Inputs!B7="Wales",(IF(Inputs!B8="Additional / Investor",(MIN(A201,180000)*0.05+MAX(0,MIN(A201,250000)-180000)*0.085+MAX(0,MIN(A201,400000)-250000)*0.1+MAX(0,MIN(A201,750000)-400000)*0.125+MAX(0,MIN(A201,1500000)-750000)*0.15+MAX(0,A201-1500000)*0.17),(MAX(0,MIN(A201,400000)-225000)*0.06+MAX(0,MIN(A201,750000)-400000)*0.075+MAX(0,MIN(A201,1500000)-750000)*0.1+MAX(0,A201-1500000)*0.12))),0)))))+(Inputs!B14+Inputs!B15+Inputs!B16+Inputs!B17)+(Summary!B14)+(Summary!B15)+(((((A201)*Inputs!B20)+(IF(Inputs!B24="Yes",(Summary!B14)*Inputs!B25,0))*Inputs!B26)*Inputs!B21*Inputs!B10/12)+((((A201)*Inputs!B20)+(IF(Inputs!B24="Yes",(Summary!B14)*Inputs!B25,0)))*Inputs!B22)+((((A201)*Inputs!B20)+(IF(Inputs!B24="Yes",(Summary!B14)*Inputs!B25,0)))*Inputs!B23))+(Summary!B17)))</f>
        <v/>
      </c>
      <c r="C201" t="str">
        <f t="shared" si="5"/>
        <v/>
      </c>
    </row>
    <row r="202" spans="1:3" x14ac:dyDescent="0.2">
      <c r="A202" s="16">
        <f>$B$5+(191)*$B$7</f>
        <v>1055000</v>
      </c>
      <c r="B202" s="16" t="str">
        <f>IF(A202&gt;$B$6,"",(Inputs!B6)-((A202)+(IF(Inputs!D13&lt;&gt;"",Inputs!D13,IF(Inputs!B7="England &amp; N. Ireland",(IF(Inputs!B8="First-time buyer",(IF(A202&lt;=500000,MAX(0,A202-300000)*0.05,(MAX(0,MIN(A202,250000)-125000)*0.02+MAX(0,MIN(A202,925000)-250000)*0.05+MAX(0,MIN(A202,1500000)-925000)*0.1+MAX(0,A202-1500000)*0.12))),(MAX(0,MIN(A202,250000)-125000)*0.02+MAX(0,MIN(A202,925000)-250000)*0.05+MAX(0,MIN(A202,1500000)-925000)*0.1+MAX(0,A202-1500000)*0.12)+IF(Inputs!B8="Additional / Investor",0.05*A202,0)+IF(Inputs!B9="Yes",0.02*A202,0))),IF(Inputs!B7="Scotland",((MAX(0,MIN(A202,250000)-145000)*0.02+MAX(0,MIN(A202,325000)-250000)*0.05+MAX(0,MIN(A202,750000)-325000)*0.1+MAX(0,A202-750000)*0.12)-IF(Inputs!B8="First-time buyer",(IF(A202&gt;145000,MIN(600,0.02*(MIN(A202,175000)-145000)),0)),0)+IF(Inputs!B8="Additional / Investor",0.08*A202,0)),IF(Inputs!B7="Wales",(IF(Inputs!B8="Additional / Investor",(MIN(A202,180000)*0.05+MAX(0,MIN(A202,250000)-180000)*0.085+MAX(0,MIN(A202,400000)-250000)*0.1+MAX(0,MIN(A202,750000)-400000)*0.125+MAX(0,MIN(A202,1500000)-750000)*0.15+MAX(0,A202-1500000)*0.17),(MAX(0,MIN(A202,400000)-225000)*0.06+MAX(0,MIN(A202,750000)-400000)*0.075+MAX(0,MIN(A202,1500000)-750000)*0.1+MAX(0,A202-1500000)*0.12))),0)))))+(Inputs!B14+Inputs!B15+Inputs!B16+Inputs!B17)+(Summary!B14)+(Summary!B15)+(((((A202)*Inputs!B20)+(IF(Inputs!B24="Yes",(Summary!B14)*Inputs!B25,0))*Inputs!B26)*Inputs!B21*Inputs!B10/12)+((((A202)*Inputs!B20)+(IF(Inputs!B24="Yes",(Summary!B14)*Inputs!B25,0)))*Inputs!B22)+((((A202)*Inputs!B20)+(IF(Inputs!B24="Yes",(Summary!B14)*Inputs!B25,0)))*Inputs!B23))+(Summary!B17)))</f>
        <v/>
      </c>
      <c r="C202" t="str">
        <f t="shared" si="5"/>
        <v/>
      </c>
    </row>
    <row r="203" spans="1:3" x14ac:dyDescent="0.2">
      <c r="A203" s="16">
        <f>$B$5+(192)*$B$7</f>
        <v>1060000</v>
      </c>
      <c r="B203" s="16" t="str">
        <f>IF(A203&gt;$B$6,"",(Inputs!B6)-((A203)+(IF(Inputs!D13&lt;&gt;"",Inputs!D13,IF(Inputs!B7="England &amp; N. Ireland",(IF(Inputs!B8="First-time buyer",(IF(A203&lt;=500000,MAX(0,A203-300000)*0.05,(MAX(0,MIN(A203,250000)-125000)*0.02+MAX(0,MIN(A203,925000)-250000)*0.05+MAX(0,MIN(A203,1500000)-925000)*0.1+MAX(0,A203-1500000)*0.12))),(MAX(0,MIN(A203,250000)-125000)*0.02+MAX(0,MIN(A203,925000)-250000)*0.05+MAX(0,MIN(A203,1500000)-925000)*0.1+MAX(0,A203-1500000)*0.12)+IF(Inputs!B8="Additional / Investor",0.05*A203,0)+IF(Inputs!B9="Yes",0.02*A203,0))),IF(Inputs!B7="Scotland",((MAX(0,MIN(A203,250000)-145000)*0.02+MAX(0,MIN(A203,325000)-250000)*0.05+MAX(0,MIN(A203,750000)-325000)*0.1+MAX(0,A203-750000)*0.12)-IF(Inputs!B8="First-time buyer",(IF(A203&gt;145000,MIN(600,0.02*(MIN(A203,175000)-145000)),0)),0)+IF(Inputs!B8="Additional / Investor",0.08*A203,0)),IF(Inputs!B7="Wales",(IF(Inputs!B8="Additional / Investor",(MIN(A203,180000)*0.05+MAX(0,MIN(A203,250000)-180000)*0.085+MAX(0,MIN(A203,400000)-250000)*0.1+MAX(0,MIN(A203,750000)-400000)*0.125+MAX(0,MIN(A203,1500000)-750000)*0.15+MAX(0,A203-1500000)*0.17),(MAX(0,MIN(A203,400000)-225000)*0.06+MAX(0,MIN(A203,750000)-400000)*0.075+MAX(0,MIN(A203,1500000)-750000)*0.1+MAX(0,A203-1500000)*0.12))),0)))))+(Inputs!B14+Inputs!B15+Inputs!B16+Inputs!B17)+(Summary!B14)+(Summary!B15)+(((((A203)*Inputs!B20)+(IF(Inputs!B24="Yes",(Summary!B14)*Inputs!B25,0))*Inputs!B26)*Inputs!B21*Inputs!B10/12)+((((A203)*Inputs!B20)+(IF(Inputs!B24="Yes",(Summary!B14)*Inputs!B25,0)))*Inputs!B22)+((((A203)*Inputs!B20)+(IF(Inputs!B24="Yes",(Summary!B14)*Inputs!B25,0)))*Inputs!B23))+(Summary!B17)))</f>
        <v/>
      </c>
      <c r="C203" t="str">
        <f t="shared" ref="C203:C210" si="6">IF(A203&gt;$B$6,"","")</f>
        <v/>
      </c>
    </row>
    <row r="204" spans="1:3" x14ac:dyDescent="0.2">
      <c r="A204" s="16">
        <f>$B$5+(193)*$B$7</f>
        <v>1065000</v>
      </c>
      <c r="B204" s="16" t="str">
        <f>IF(A204&gt;$B$6,"",(Inputs!B6)-((A204)+(IF(Inputs!D13&lt;&gt;"",Inputs!D13,IF(Inputs!B7="England &amp; N. Ireland",(IF(Inputs!B8="First-time buyer",(IF(A204&lt;=500000,MAX(0,A204-300000)*0.05,(MAX(0,MIN(A204,250000)-125000)*0.02+MAX(0,MIN(A204,925000)-250000)*0.05+MAX(0,MIN(A204,1500000)-925000)*0.1+MAX(0,A204-1500000)*0.12))),(MAX(0,MIN(A204,250000)-125000)*0.02+MAX(0,MIN(A204,925000)-250000)*0.05+MAX(0,MIN(A204,1500000)-925000)*0.1+MAX(0,A204-1500000)*0.12)+IF(Inputs!B8="Additional / Investor",0.05*A204,0)+IF(Inputs!B9="Yes",0.02*A204,0))),IF(Inputs!B7="Scotland",((MAX(0,MIN(A204,250000)-145000)*0.02+MAX(0,MIN(A204,325000)-250000)*0.05+MAX(0,MIN(A204,750000)-325000)*0.1+MAX(0,A204-750000)*0.12)-IF(Inputs!B8="First-time buyer",(IF(A204&gt;145000,MIN(600,0.02*(MIN(A204,175000)-145000)),0)),0)+IF(Inputs!B8="Additional / Investor",0.08*A204,0)),IF(Inputs!B7="Wales",(IF(Inputs!B8="Additional / Investor",(MIN(A204,180000)*0.05+MAX(0,MIN(A204,250000)-180000)*0.085+MAX(0,MIN(A204,400000)-250000)*0.1+MAX(0,MIN(A204,750000)-400000)*0.125+MAX(0,MIN(A204,1500000)-750000)*0.15+MAX(0,A204-1500000)*0.17),(MAX(0,MIN(A204,400000)-225000)*0.06+MAX(0,MIN(A204,750000)-400000)*0.075+MAX(0,MIN(A204,1500000)-750000)*0.1+MAX(0,A204-1500000)*0.12))),0)))))+(Inputs!B14+Inputs!B15+Inputs!B16+Inputs!B17)+(Summary!B14)+(Summary!B15)+(((((A204)*Inputs!B20)+(IF(Inputs!B24="Yes",(Summary!B14)*Inputs!B25,0))*Inputs!B26)*Inputs!B21*Inputs!B10/12)+((((A204)*Inputs!B20)+(IF(Inputs!B24="Yes",(Summary!B14)*Inputs!B25,0)))*Inputs!B22)+((((A204)*Inputs!B20)+(IF(Inputs!B24="Yes",(Summary!B14)*Inputs!B25,0)))*Inputs!B23))+(Summary!B17)))</f>
        <v/>
      </c>
      <c r="C204" t="str">
        <f t="shared" si="6"/>
        <v/>
      </c>
    </row>
    <row r="205" spans="1:3" x14ac:dyDescent="0.2">
      <c r="A205" s="16">
        <f>$B$5+(194)*$B$7</f>
        <v>1070000</v>
      </c>
      <c r="B205" s="16" t="str">
        <f>IF(A205&gt;$B$6,"",(Inputs!B6)-((A205)+(IF(Inputs!D13&lt;&gt;"",Inputs!D13,IF(Inputs!B7="England &amp; N. Ireland",(IF(Inputs!B8="First-time buyer",(IF(A205&lt;=500000,MAX(0,A205-300000)*0.05,(MAX(0,MIN(A205,250000)-125000)*0.02+MAX(0,MIN(A205,925000)-250000)*0.05+MAX(0,MIN(A205,1500000)-925000)*0.1+MAX(0,A205-1500000)*0.12))),(MAX(0,MIN(A205,250000)-125000)*0.02+MAX(0,MIN(A205,925000)-250000)*0.05+MAX(0,MIN(A205,1500000)-925000)*0.1+MAX(0,A205-1500000)*0.12)+IF(Inputs!B8="Additional / Investor",0.05*A205,0)+IF(Inputs!B9="Yes",0.02*A205,0))),IF(Inputs!B7="Scotland",((MAX(0,MIN(A205,250000)-145000)*0.02+MAX(0,MIN(A205,325000)-250000)*0.05+MAX(0,MIN(A205,750000)-325000)*0.1+MAX(0,A205-750000)*0.12)-IF(Inputs!B8="First-time buyer",(IF(A205&gt;145000,MIN(600,0.02*(MIN(A205,175000)-145000)),0)),0)+IF(Inputs!B8="Additional / Investor",0.08*A205,0)),IF(Inputs!B7="Wales",(IF(Inputs!B8="Additional / Investor",(MIN(A205,180000)*0.05+MAX(0,MIN(A205,250000)-180000)*0.085+MAX(0,MIN(A205,400000)-250000)*0.1+MAX(0,MIN(A205,750000)-400000)*0.125+MAX(0,MIN(A205,1500000)-750000)*0.15+MAX(0,A205-1500000)*0.17),(MAX(0,MIN(A205,400000)-225000)*0.06+MAX(0,MIN(A205,750000)-400000)*0.075+MAX(0,MIN(A205,1500000)-750000)*0.1+MAX(0,A205-1500000)*0.12))),0)))))+(Inputs!B14+Inputs!B15+Inputs!B16+Inputs!B17)+(Summary!B14)+(Summary!B15)+(((((A205)*Inputs!B20)+(IF(Inputs!B24="Yes",(Summary!B14)*Inputs!B25,0))*Inputs!B26)*Inputs!B21*Inputs!B10/12)+((((A205)*Inputs!B20)+(IF(Inputs!B24="Yes",(Summary!B14)*Inputs!B25,0)))*Inputs!B22)+((((A205)*Inputs!B20)+(IF(Inputs!B24="Yes",(Summary!B14)*Inputs!B25,0)))*Inputs!B23))+(Summary!B17)))</f>
        <v/>
      </c>
      <c r="C205" t="str">
        <f t="shared" si="6"/>
        <v/>
      </c>
    </row>
    <row r="206" spans="1:3" x14ac:dyDescent="0.2">
      <c r="A206" s="16">
        <f>$B$5+(195)*$B$7</f>
        <v>1075000</v>
      </c>
      <c r="B206" s="16" t="str">
        <f>IF(A206&gt;$B$6,"",(Inputs!B6)-((A206)+(IF(Inputs!D13&lt;&gt;"",Inputs!D13,IF(Inputs!B7="England &amp; N. Ireland",(IF(Inputs!B8="First-time buyer",(IF(A206&lt;=500000,MAX(0,A206-300000)*0.05,(MAX(0,MIN(A206,250000)-125000)*0.02+MAX(0,MIN(A206,925000)-250000)*0.05+MAX(0,MIN(A206,1500000)-925000)*0.1+MAX(0,A206-1500000)*0.12))),(MAX(0,MIN(A206,250000)-125000)*0.02+MAX(0,MIN(A206,925000)-250000)*0.05+MAX(0,MIN(A206,1500000)-925000)*0.1+MAX(0,A206-1500000)*0.12)+IF(Inputs!B8="Additional / Investor",0.05*A206,0)+IF(Inputs!B9="Yes",0.02*A206,0))),IF(Inputs!B7="Scotland",((MAX(0,MIN(A206,250000)-145000)*0.02+MAX(0,MIN(A206,325000)-250000)*0.05+MAX(0,MIN(A206,750000)-325000)*0.1+MAX(0,A206-750000)*0.12)-IF(Inputs!B8="First-time buyer",(IF(A206&gt;145000,MIN(600,0.02*(MIN(A206,175000)-145000)),0)),0)+IF(Inputs!B8="Additional / Investor",0.08*A206,0)),IF(Inputs!B7="Wales",(IF(Inputs!B8="Additional / Investor",(MIN(A206,180000)*0.05+MAX(0,MIN(A206,250000)-180000)*0.085+MAX(0,MIN(A206,400000)-250000)*0.1+MAX(0,MIN(A206,750000)-400000)*0.125+MAX(0,MIN(A206,1500000)-750000)*0.15+MAX(0,A206-1500000)*0.17),(MAX(0,MIN(A206,400000)-225000)*0.06+MAX(0,MIN(A206,750000)-400000)*0.075+MAX(0,MIN(A206,1500000)-750000)*0.1+MAX(0,A206-1500000)*0.12))),0)))))+(Inputs!B14+Inputs!B15+Inputs!B16+Inputs!B17)+(Summary!B14)+(Summary!B15)+(((((A206)*Inputs!B20)+(IF(Inputs!B24="Yes",(Summary!B14)*Inputs!B25,0))*Inputs!B26)*Inputs!B21*Inputs!B10/12)+((((A206)*Inputs!B20)+(IF(Inputs!B24="Yes",(Summary!B14)*Inputs!B25,0)))*Inputs!B22)+((((A206)*Inputs!B20)+(IF(Inputs!B24="Yes",(Summary!B14)*Inputs!B25,0)))*Inputs!B23))+(Summary!B17)))</f>
        <v/>
      </c>
      <c r="C206" t="str">
        <f t="shared" si="6"/>
        <v/>
      </c>
    </row>
    <row r="207" spans="1:3" x14ac:dyDescent="0.2">
      <c r="A207" s="16">
        <f>$B$5+(196)*$B$7</f>
        <v>1080000</v>
      </c>
      <c r="B207" s="16" t="str">
        <f>IF(A207&gt;$B$6,"",(Inputs!B6)-((A207)+(IF(Inputs!D13&lt;&gt;"",Inputs!D13,IF(Inputs!B7="England &amp; N. Ireland",(IF(Inputs!B8="First-time buyer",(IF(A207&lt;=500000,MAX(0,A207-300000)*0.05,(MAX(0,MIN(A207,250000)-125000)*0.02+MAX(0,MIN(A207,925000)-250000)*0.05+MAX(0,MIN(A207,1500000)-925000)*0.1+MAX(0,A207-1500000)*0.12))),(MAX(0,MIN(A207,250000)-125000)*0.02+MAX(0,MIN(A207,925000)-250000)*0.05+MAX(0,MIN(A207,1500000)-925000)*0.1+MAX(0,A207-1500000)*0.12)+IF(Inputs!B8="Additional / Investor",0.05*A207,0)+IF(Inputs!B9="Yes",0.02*A207,0))),IF(Inputs!B7="Scotland",((MAX(0,MIN(A207,250000)-145000)*0.02+MAX(0,MIN(A207,325000)-250000)*0.05+MAX(0,MIN(A207,750000)-325000)*0.1+MAX(0,A207-750000)*0.12)-IF(Inputs!B8="First-time buyer",(IF(A207&gt;145000,MIN(600,0.02*(MIN(A207,175000)-145000)),0)),0)+IF(Inputs!B8="Additional / Investor",0.08*A207,0)),IF(Inputs!B7="Wales",(IF(Inputs!B8="Additional / Investor",(MIN(A207,180000)*0.05+MAX(0,MIN(A207,250000)-180000)*0.085+MAX(0,MIN(A207,400000)-250000)*0.1+MAX(0,MIN(A207,750000)-400000)*0.125+MAX(0,MIN(A207,1500000)-750000)*0.15+MAX(0,A207-1500000)*0.17),(MAX(0,MIN(A207,400000)-225000)*0.06+MAX(0,MIN(A207,750000)-400000)*0.075+MAX(0,MIN(A207,1500000)-750000)*0.1+MAX(0,A207-1500000)*0.12))),0)))))+(Inputs!B14+Inputs!B15+Inputs!B16+Inputs!B17)+(Summary!B14)+(Summary!B15)+(((((A207)*Inputs!B20)+(IF(Inputs!B24="Yes",(Summary!B14)*Inputs!B25,0))*Inputs!B26)*Inputs!B21*Inputs!B10/12)+((((A207)*Inputs!B20)+(IF(Inputs!B24="Yes",(Summary!B14)*Inputs!B25,0)))*Inputs!B22)+((((A207)*Inputs!B20)+(IF(Inputs!B24="Yes",(Summary!B14)*Inputs!B25,0)))*Inputs!B23))+(Summary!B17)))</f>
        <v/>
      </c>
      <c r="C207" t="str">
        <f t="shared" si="6"/>
        <v/>
      </c>
    </row>
    <row r="208" spans="1:3" x14ac:dyDescent="0.2">
      <c r="A208" s="16">
        <f>$B$5+(197)*$B$7</f>
        <v>1085000</v>
      </c>
      <c r="B208" s="16" t="str">
        <f>IF(A208&gt;$B$6,"",(Inputs!B6)-((A208)+(IF(Inputs!D13&lt;&gt;"",Inputs!D13,IF(Inputs!B7="England &amp; N. Ireland",(IF(Inputs!B8="First-time buyer",(IF(A208&lt;=500000,MAX(0,A208-300000)*0.05,(MAX(0,MIN(A208,250000)-125000)*0.02+MAX(0,MIN(A208,925000)-250000)*0.05+MAX(0,MIN(A208,1500000)-925000)*0.1+MAX(0,A208-1500000)*0.12))),(MAX(0,MIN(A208,250000)-125000)*0.02+MAX(0,MIN(A208,925000)-250000)*0.05+MAX(0,MIN(A208,1500000)-925000)*0.1+MAX(0,A208-1500000)*0.12)+IF(Inputs!B8="Additional / Investor",0.05*A208,0)+IF(Inputs!B9="Yes",0.02*A208,0))),IF(Inputs!B7="Scotland",((MAX(0,MIN(A208,250000)-145000)*0.02+MAX(0,MIN(A208,325000)-250000)*0.05+MAX(0,MIN(A208,750000)-325000)*0.1+MAX(0,A208-750000)*0.12)-IF(Inputs!B8="First-time buyer",(IF(A208&gt;145000,MIN(600,0.02*(MIN(A208,175000)-145000)),0)),0)+IF(Inputs!B8="Additional / Investor",0.08*A208,0)),IF(Inputs!B7="Wales",(IF(Inputs!B8="Additional / Investor",(MIN(A208,180000)*0.05+MAX(0,MIN(A208,250000)-180000)*0.085+MAX(0,MIN(A208,400000)-250000)*0.1+MAX(0,MIN(A208,750000)-400000)*0.125+MAX(0,MIN(A208,1500000)-750000)*0.15+MAX(0,A208-1500000)*0.17),(MAX(0,MIN(A208,400000)-225000)*0.06+MAX(0,MIN(A208,750000)-400000)*0.075+MAX(0,MIN(A208,1500000)-750000)*0.1+MAX(0,A208-1500000)*0.12))),0)))))+(Inputs!B14+Inputs!B15+Inputs!B16+Inputs!B17)+(Summary!B14)+(Summary!B15)+(((((A208)*Inputs!B20)+(IF(Inputs!B24="Yes",(Summary!B14)*Inputs!B25,0))*Inputs!B26)*Inputs!B21*Inputs!B10/12)+((((A208)*Inputs!B20)+(IF(Inputs!B24="Yes",(Summary!B14)*Inputs!B25,0)))*Inputs!B22)+((((A208)*Inputs!B20)+(IF(Inputs!B24="Yes",(Summary!B14)*Inputs!B25,0)))*Inputs!B23))+(Summary!B17)))</f>
        <v/>
      </c>
      <c r="C208" t="str">
        <f t="shared" si="6"/>
        <v/>
      </c>
    </row>
    <row r="209" spans="1:3" x14ac:dyDescent="0.2">
      <c r="A209" s="16">
        <f>$B$5+(198)*$B$7</f>
        <v>1090000</v>
      </c>
      <c r="B209" s="16" t="str">
        <f>IF(A209&gt;$B$6,"",(Inputs!B6)-((A209)+(IF(Inputs!D13&lt;&gt;"",Inputs!D13,IF(Inputs!B7="England &amp; N. Ireland",(IF(Inputs!B8="First-time buyer",(IF(A209&lt;=500000,MAX(0,A209-300000)*0.05,(MAX(0,MIN(A209,250000)-125000)*0.02+MAX(0,MIN(A209,925000)-250000)*0.05+MAX(0,MIN(A209,1500000)-925000)*0.1+MAX(0,A209-1500000)*0.12))),(MAX(0,MIN(A209,250000)-125000)*0.02+MAX(0,MIN(A209,925000)-250000)*0.05+MAX(0,MIN(A209,1500000)-925000)*0.1+MAX(0,A209-1500000)*0.12)+IF(Inputs!B8="Additional / Investor",0.05*A209,0)+IF(Inputs!B9="Yes",0.02*A209,0))),IF(Inputs!B7="Scotland",((MAX(0,MIN(A209,250000)-145000)*0.02+MAX(0,MIN(A209,325000)-250000)*0.05+MAX(0,MIN(A209,750000)-325000)*0.1+MAX(0,A209-750000)*0.12)-IF(Inputs!B8="First-time buyer",(IF(A209&gt;145000,MIN(600,0.02*(MIN(A209,175000)-145000)),0)),0)+IF(Inputs!B8="Additional / Investor",0.08*A209,0)),IF(Inputs!B7="Wales",(IF(Inputs!B8="Additional / Investor",(MIN(A209,180000)*0.05+MAX(0,MIN(A209,250000)-180000)*0.085+MAX(0,MIN(A209,400000)-250000)*0.1+MAX(0,MIN(A209,750000)-400000)*0.125+MAX(0,MIN(A209,1500000)-750000)*0.15+MAX(0,A209-1500000)*0.17),(MAX(0,MIN(A209,400000)-225000)*0.06+MAX(0,MIN(A209,750000)-400000)*0.075+MAX(0,MIN(A209,1500000)-750000)*0.1+MAX(0,A209-1500000)*0.12))),0)))))+(Inputs!B14+Inputs!B15+Inputs!B16+Inputs!B17)+(Summary!B14)+(Summary!B15)+(((((A209)*Inputs!B20)+(IF(Inputs!B24="Yes",(Summary!B14)*Inputs!B25,0))*Inputs!B26)*Inputs!B21*Inputs!B10/12)+((((A209)*Inputs!B20)+(IF(Inputs!B24="Yes",(Summary!B14)*Inputs!B25,0)))*Inputs!B22)+((((A209)*Inputs!B20)+(IF(Inputs!B24="Yes",(Summary!B14)*Inputs!B25,0)))*Inputs!B23))+(Summary!B17)))</f>
        <v/>
      </c>
      <c r="C209" t="str">
        <f t="shared" si="6"/>
        <v/>
      </c>
    </row>
    <row r="210" spans="1:3" x14ac:dyDescent="0.2">
      <c r="A210" s="16">
        <f>$B$5+(199)*$B$7</f>
        <v>1095000</v>
      </c>
      <c r="B210" s="16" t="str">
        <f>IF(A210&gt;$B$6,"",(Inputs!B6)-((A210)+(IF(Inputs!D13&lt;&gt;"",Inputs!D13,IF(Inputs!B7="England &amp; N. Ireland",(IF(Inputs!B8="First-time buyer",(IF(A210&lt;=500000,MAX(0,A210-300000)*0.05,(MAX(0,MIN(A210,250000)-125000)*0.02+MAX(0,MIN(A210,925000)-250000)*0.05+MAX(0,MIN(A210,1500000)-925000)*0.1+MAX(0,A210-1500000)*0.12))),(MAX(0,MIN(A210,250000)-125000)*0.02+MAX(0,MIN(A210,925000)-250000)*0.05+MAX(0,MIN(A210,1500000)-925000)*0.1+MAX(0,A210-1500000)*0.12)+IF(Inputs!B8="Additional / Investor",0.05*A210,0)+IF(Inputs!B9="Yes",0.02*A210,0))),IF(Inputs!B7="Scotland",((MAX(0,MIN(A210,250000)-145000)*0.02+MAX(0,MIN(A210,325000)-250000)*0.05+MAX(0,MIN(A210,750000)-325000)*0.1+MAX(0,A210-750000)*0.12)-IF(Inputs!B8="First-time buyer",(IF(A210&gt;145000,MIN(600,0.02*(MIN(A210,175000)-145000)),0)),0)+IF(Inputs!B8="Additional / Investor",0.08*A210,0)),IF(Inputs!B7="Wales",(IF(Inputs!B8="Additional / Investor",(MIN(A210,180000)*0.05+MAX(0,MIN(A210,250000)-180000)*0.085+MAX(0,MIN(A210,400000)-250000)*0.1+MAX(0,MIN(A210,750000)-400000)*0.125+MAX(0,MIN(A210,1500000)-750000)*0.15+MAX(0,A210-1500000)*0.17),(MAX(0,MIN(A210,400000)-225000)*0.06+MAX(0,MIN(A210,750000)-400000)*0.075+MAX(0,MIN(A210,1500000)-750000)*0.1+MAX(0,A210-1500000)*0.12))),0)))))+(Inputs!B14+Inputs!B15+Inputs!B16+Inputs!B17)+(Summary!B14)+(Summary!B15)+(((((A210)*Inputs!B20)+(IF(Inputs!B24="Yes",(Summary!B14)*Inputs!B25,0))*Inputs!B26)*Inputs!B21*Inputs!B10/12)+((((A210)*Inputs!B20)+(IF(Inputs!B24="Yes",(Summary!B14)*Inputs!B25,0)))*Inputs!B22)+((((A210)*Inputs!B20)+(IF(Inputs!B24="Yes",(Summary!B14)*Inputs!B25,0)))*Inputs!B23))+(Summary!B17)))</f>
        <v/>
      </c>
      <c r="C210" t="str">
        <f t="shared" si="6"/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22" customWidth="1"/>
    <col min="2" max="8" width="16" customWidth="1"/>
  </cols>
  <sheetData>
    <row r="1" spans="1:8" ht="24" x14ac:dyDescent="0.2">
      <c r="A1" s="20" t="s">
        <v>76</v>
      </c>
      <c r="B1" s="21"/>
      <c r="C1" s="21"/>
      <c r="D1" s="21"/>
      <c r="E1" s="21"/>
      <c r="F1" s="21"/>
      <c r="G1" s="21"/>
      <c r="H1" s="21"/>
    </row>
    <row r="2" spans="1:8" x14ac:dyDescent="0.2">
      <c r="A2" s="25" t="s">
        <v>77</v>
      </c>
      <c r="B2" s="21"/>
      <c r="C2" s="21"/>
      <c r="D2" s="21"/>
      <c r="E2" s="21"/>
      <c r="F2" s="21"/>
      <c r="G2" s="21"/>
      <c r="H2" s="21"/>
    </row>
    <row r="4" spans="1:8" x14ac:dyDescent="0.2">
      <c r="A4" s="1" t="s">
        <v>78</v>
      </c>
      <c r="B4" s="17">
        <f>Summary!B19</f>
        <v>525</v>
      </c>
    </row>
    <row r="6" spans="1:8" x14ac:dyDescent="0.2">
      <c r="A6" s="15" t="s">
        <v>79</v>
      </c>
      <c r="B6" s="18">
        <v>-0.1</v>
      </c>
      <c r="C6" s="18">
        <v>-0.05</v>
      </c>
      <c r="D6" s="18">
        <v>0</v>
      </c>
      <c r="E6" s="18">
        <v>0.05</v>
      </c>
      <c r="F6" s="18">
        <v>0.1</v>
      </c>
    </row>
    <row r="7" spans="1:8" x14ac:dyDescent="0.2">
      <c r="A7" s="19">
        <v>-0.2</v>
      </c>
      <c r="B7" s="16">
        <f>((Inputs!B6)*(1+-0.1))-((Summary!B13)+((Summary!B14)*(1+-0.2))+(Summary!B15)+(((((Inputs!B5)*(Inputs!B20))+(IF(Inputs!B24="Yes",((Summary!B14)*(1+-0.2))*(Inputs!B25),0))*(Inputs!B26))*(Inputs!B21)*(Inputs!B10)/12)+((((Inputs!B5)*(Inputs!B20))+(IF(Inputs!B24="Yes",((Summary!B14)*(1+-0.2))*(Inputs!B25),0)))*(Inputs!B22))+((((Inputs!B5)*(Inputs!B20))+(IF(Inputs!B24="Yes",((Summary!B14)*(1+-0.2))*(Inputs!B25),0)))*(Inputs!B23)))+(((Summary!B17)-(Inputs!B6)*(Inputs!B40))+((Inputs!B6)*(1+-0.1))*(Inputs!B40)))</f>
        <v>-25495</v>
      </c>
      <c r="C7" s="16">
        <f>((Inputs!B6)*(1+-0.05))-((Summary!B13)+((Summary!B14)*(1+-0.2))+(Summary!B15)+(((((Inputs!B5)*(Inputs!B20))+(IF(Inputs!B24="Yes",((Summary!B14)*(1+-0.2))*(Inputs!B25),0))*(Inputs!B26))*(Inputs!B21)*(Inputs!B10)/12)+((((Inputs!B5)*(Inputs!B20))+(IF(Inputs!B24="Yes",((Summary!B14)*(1+-0.2))*(Inputs!B25),0)))*(Inputs!B22))+((((Inputs!B5)*(Inputs!B20))+(IF(Inputs!B24="Yes",((Summary!B14)*(1+-0.2))*(Inputs!B25),0)))*(Inputs!B23)))+(((Summary!B17)-(Inputs!B6)*(Inputs!B40))+((Inputs!B6)*(1+-0.05))*(Inputs!B40)))</f>
        <v>-9735</v>
      </c>
      <c r="D7" s="16">
        <f>((Inputs!B6)*(1+0))-((Summary!B13)+((Summary!B14)*(1+-0.2))+(Summary!B15)+(((((Inputs!B5)*(Inputs!B20))+(IF(Inputs!B24="Yes",((Summary!B14)*(1+-0.2))*(Inputs!B25),0))*(Inputs!B26))*(Inputs!B21)*(Inputs!B10)/12)+((((Inputs!B5)*(Inputs!B20))+(IF(Inputs!B24="Yes",((Summary!B14)*(1+-0.2))*(Inputs!B25),0)))*(Inputs!B22))+((((Inputs!B5)*(Inputs!B20))+(IF(Inputs!B24="Yes",((Summary!B14)*(1+-0.2))*(Inputs!B25),0)))*(Inputs!B23)))+(((Summary!B17)-(Inputs!B6)*(Inputs!B40))+((Inputs!B6)*(1+0))*(Inputs!B40)))</f>
        <v>6025</v>
      </c>
      <c r="E7" s="16">
        <f>((Inputs!B6)*(1+0.05))-((Summary!B13)+((Summary!B14)*(1+-0.2))+(Summary!B15)+(((((Inputs!B5)*(Inputs!B20))+(IF(Inputs!B24="Yes",((Summary!B14)*(1+-0.2))*(Inputs!B25),0))*(Inputs!B26))*(Inputs!B21)*(Inputs!B10)/12)+((((Inputs!B5)*(Inputs!B20))+(IF(Inputs!B24="Yes",((Summary!B14)*(1+-0.2))*(Inputs!B25),0)))*(Inputs!B22))+((((Inputs!B5)*(Inputs!B20))+(IF(Inputs!B24="Yes",((Summary!B14)*(1+-0.2))*(Inputs!B25),0)))*(Inputs!B23)))+(((Summary!B17)-(Inputs!B6)*(Inputs!B40))+((Inputs!B6)*(1+0.05))*(Inputs!B40)))</f>
        <v>21785</v>
      </c>
      <c r="F7" s="16">
        <f>((Inputs!B6)*(1+0.1))-((Summary!B13)+((Summary!B14)*(1+-0.2))+(Summary!B15)+(((((Inputs!B5)*(Inputs!B20))+(IF(Inputs!B24="Yes",((Summary!B14)*(1+-0.2))*(Inputs!B25),0))*(Inputs!B26))*(Inputs!B21)*(Inputs!B10)/12)+((((Inputs!B5)*(Inputs!B20))+(IF(Inputs!B24="Yes",((Summary!B14)*(1+-0.2))*(Inputs!B25),0)))*(Inputs!B22))+((((Inputs!B5)*(Inputs!B20))+(IF(Inputs!B24="Yes",((Summary!B14)*(1+-0.2))*(Inputs!B25),0)))*(Inputs!B23)))+(((Summary!B17)-(Inputs!B6)*(Inputs!B40))+((Inputs!B6)*(1+0.1))*(Inputs!B40)))</f>
        <v>37545</v>
      </c>
    </row>
    <row r="8" spans="1:8" x14ac:dyDescent="0.2">
      <c r="A8" s="19">
        <v>-0.1</v>
      </c>
      <c r="B8" s="16">
        <f>((Inputs!B6)*(1+-0.1))-((Summary!B13)+((Summary!B14)*(1+-0.1))+(Summary!B15)+(((((Inputs!B5)*(Inputs!B20))+(IF(Inputs!B24="Yes",((Summary!B14)*(1+-0.1))*(Inputs!B25),0))*(Inputs!B26))*(Inputs!B21)*(Inputs!B10)/12)+((((Inputs!B5)*(Inputs!B20))+(IF(Inputs!B24="Yes",((Summary!B14)*(1+-0.1))*(Inputs!B25),0)))*(Inputs!B22))+((((Inputs!B5)*(Inputs!B20))+(IF(Inputs!B24="Yes",((Summary!B14)*(1+-0.1))*(Inputs!B25),0)))*(Inputs!B23)))+(((Summary!B17)-(Inputs!B6)*(Inputs!B40))+((Inputs!B6)*(1+-0.1))*(Inputs!B40)))</f>
        <v>-28245</v>
      </c>
      <c r="C8" s="16">
        <f>((Inputs!B6)*(1+-0.05))-((Summary!B13)+((Summary!B14)*(1+-0.1))+(Summary!B15)+(((((Inputs!B5)*(Inputs!B20))+(IF(Inputs!B24="Yes",((Summary!B14)*(1+-0.1))*(Inputs!B25),0))*(Inputs!B26))*(Inputs!B21)*(Inputs!B10)/12)+((((Inputs!B5)*(Inputs!B20))+(IF(Inputs!B24="Yes",((Summary!B14)*(1+-0.1))*(Inputs!B25),0)))*(Inputs!B22))+((((Inputs!B5)*(Inputs!B20))+(IF(Inputs!B24="Yes",((Summary!B14)*(1+-0.1))*(Inputs!B25),0)))*(Inputs!B23)))+(((Summary!B17)-(Inputs!B6)*(Inputs!B40))+((Inputs!B6)*(1+-0.05))*(Inputs!B40)))</f>
        <v>-12485</v>
      </c>
      <c r="D8" s="16">
        <f>((Inputs!B6)*(1+0))-((Summary!B13)+((Summary!B14)*(1+-0.1))+(Summary!B15)+(((((Inputs!B5)*(Inputs!B20))+(IF(Inputs!B24="Yes",((Summary!B14)*(1+-0.1))*(Inputs!B25),0))*(Inputs!B26))*(Inputs!B21)*(Inputs!B10)/12)+((((Inputs!B5)*(Inputs!B20))+(IF(Inputs!B24="Yes",((Summary!B14)*(1+-0.1))*(Inputs!B25),0)))*(Inputs!B22))+((((Inputs!B5)*(Inputs!B20))+(IF(Inputs!B24="Yes",((Summary!B14)*(1+-0.1))*(Inputs!B25),0)))*(Inputs!B23)))+(((Summary!B17)-(Inputs!B6)*(Inputs!B40))+((Inputs!B6)*(1+0))*(Inputs!B40)))</f>
        <v>3275</v>
      </c>
      <c r="E8" s="16">
        <f>((Inputs!B6)*(1+0.05))-((Summary!B13)+((Summary!B14)*(1+-0.1))+(Summary!B15)+(((((Inputs!B5)*(Inputs!B20))+(IF(Inputs!B24="Yes",((Summary!B14)*(1+-0.1))*(Inputs!B25),0))*(Inputs!B26))*(Inputs!B21)*(Inputs!B10)/12)+((((Inputs!B5)*(Inputs!B20))+(IF(Inputs!B24="Yes",((Summary!B14)*(1+-0.1))*(Inputs!B25),0)))*(Inputs!B22))+((((Inputs!B5)*(Inputs!B20))+(IF(Inputs!B24="Yes",((Summary!B14)*(1+-0.1))*(Inputs!B25),0)))*(Inputs!B23)))+(((Summary!B17)-(Inputs!B6)*(Inputs!B40))+((Inputs!B6)*(1+0.05))*(Inputs!B40)))</f>
        <v>19035</v>
      </c>
      <c r="F8" s="16">
        <f>((Inputs!B6)*(1+0.1))-((Summary!B13)+((Summary!B14)*(1+-0.1))+(Summary!B15)+(((((Inputs!B5)*(Inputs!B20))+(IF(Inputs!B24="Yes",((Summary!B14)*(1+-0.1))*(Inputs!B25),0))*(Inputs!B26))*(Inputs!B21)*(Inputs!B10)/12)+((((Inputs!B5)*(Inputs!B20))+(IF(Inputs!B24="Yes",((Summary!B14)*(1+-0.1))*(Inputs!B25),0)))*(Inputs!B22))+((((Inputs!B5)*(Inputs!B20))+(IF(Inputs!B24="Yes",((Summary!B14)*(1+-0.1))*(Inputs!B25),0)))*(Inputs!B23)))+(((Summary!B17)-(Inputs!B6)*(Inputs!B40))+((Inputs!B6)*(1+0.1))*(Inputs!B40)))</f>
        <v>34795</v>
      </c>
    </row>
    <row r="9" spans="1:8" x14ac:dyDescent="0.2">
      <c r="A9" s="19">
        <v>0</v>
      </c>
      <c r="B9" s="16">
        <f>((Inputs!B6)*(1+-0.1))-((Summary!B13)+((Summary!B14)*(1+0))+(Summary!B15)+(((((Inputs!B5)*(Inputs!B20))+(IF(Inputs!B24="Yes",((Summary!B14)*(1+0))*(Inputs!B25),0))*(Inputs!B26))*(Inputs!B21)*(Inputs!B10)/12)+((((Inputs!B5)*(Inputs!B20))+(IF(Inputs!B24="Yes",((Summary!B14)*(1+0))*(Inputs!B25),0)))*(Inputs!B22))+((((Inputs!B5)*(Inputs!B20))+(IF(Inputs!B24="Yes",((Summary!B14)*(1+0))*(Inputs!B25),0)))*(Inputs!B23)))+(((Summary!B17)-(Inputs!B6)*(Inputs!B40))+((Inputs!B6)*(1+-0.1))*(Inputs!B40)))</f>
        <v>-30995</v>
      </c>
      <c r="C9" s="16">
        <f>((Inputs!B6)*(1+-0.05))-((Summary!B13)+((Summary!B14)*(1+0))+(Summary!B15)+(((((Inputs!B5)*(Inputs!B20))+(IF(Inputs!B24="Yes",((Summary!B14)*(1+0))*(Inputs!B25),0))*(Inputs!B26))*(Inputs!B21)*(Inputs!B10)/12)+((((Inputs!B5)*(Inputs!B20))+(IF(Inputs!B24="Yes",((Summary!B14)*(1+0))*(Inputs!B25),0)))*(Inputs!B22))+((((Inputs!B5)*(Inputs!B20))+(IF(Inputs!B24="Yes",((Summary!B14)*(1+0))*(Inputs!B25),0)))*(Inputs!B23)))+(((Summary!B17)-(Inputs!B6)*(Inputs!B40))+((Inputs!B6)*(1+-0.05))*(Inputs!B40)))</f>
        <v>-15235</v>
      </c>
      <c r="D9" s="16">
        <f>((Inputs!B6)*(1+0))-((Summary!B13)+((Summary!B14)*(1+0))+(Summary!B15)+(((((Inputs!B5)*(Inputs!B20))+(IF(Inputs!B24="Yes",((Summary!B14)*(1+0))*(Inputs!B25),0))*(Inputs!B26))*(Inputs!B21)*(Inputs!B10)/12)+((((Inputs!B5)*(Inputs!B20))+(IF(Inputs!B24="Yes",((Summary!B14)*(1+0))*(Inputs!B25),0)))*(Inputs!B22))+((((Inputs!B5)*(Inputs!B20))+(IF(Inputs!B24="Yes",((Summary!B14)*(1+0))*(Inputs!B25),0)))*(Inputs!B23)))+(((Summary!B17)-(Inputs!B6)*(Inputs!B40))+((Inputs!B6)*(1+0))*(Inputs!B40)))</f>
        <v>525</v>
      </c>
      <c r="E9" s="16">
        <f>((Inputs!B6)*(1+0.05))-((Summary!B13)+((Summary!B14)*(1+0))+(Summary!B15)+(((((Inputs!B5)*(Inputs!B20))+(IF(Inputs!B24="Yes",((Summary!B14)*(1+0))*(Inputs!B25),0))*(Inputs!B26))*(Inputs!B21)*(Inputs!B10)/12)+((((Inputs!B5)*(Inputs!B20))+(IF(Inputs!B24="Yes",((Summary!B14)*(1+0))*(Inputs!B25),0)))*(Inputs!B22))+((((Inputs!B5)*(Inputs!B20))+(IF(Inputs!B24="Yes",((Summary!B14)*(1+0))*(Inputs!B25),0)))*(Inputs!B23)))+(((Summary!B17)-(Inputs!B6)*(Inputs!B40))+((Inputs!B6)*(1+0.05))*(Inputs!B40)))</f>
        <v>16285</v>
      </c>
      <c r="F9" s="16">
        <f>((Inputs!B6)*(1+0.1))-((Summary!B13)+((Summary!B14)*(1+0))+(Summary!B15)+(((((Inputs!B5)*(Inputs!B20))+(IF(Inputs!B24="Yes",((Summary!B14)*(1+0))*(Inputs!B25),0))*(Inputs!B26))*(Inputs!B21)*(Inputs!B10)/12)+((((Inputs!B5)*(Inputs!B20))+(IF(Inputs!B24="Yes",((Summary!B14)*(1+0))*(Inputs!B25),0)))*(Inputs!B22))+((((Inputs!B5)*(Inputs!B20))+(IF(Inputs!B24="Yes",((Summary!B14)*(1+0))*(Inputs!B25),0)))*(Inputs!B23)))+(((Summary!B17)-(Inputs!B6)*(Inputs!B40))+((Inputs!B6)*(1+0.1))*(Inputs!B40)))</f>
        <v>32045</v>
      </c>
    </row>
    <row r="10" spans="1:8" x14ac:dyDescent="0.2">
      <c r="A10" s="19">
        <v>0.1</v>
      </c>
      <c r="B10" s="16">
        <f>((Inputs!B6)*(1+-0.1))-((Summary!B13)+((Summary!B14)*(1+0.1))+(Summary!B15)+(((((Inputs!B5)*(Inputs!B20))+(IF(Inputs!B24="Yes",((Summary!B14)*(1+0.1))*(Inputs!B25),0))*(Inputs!B26))*(Inputs!B21)*(Inputs!B10)/12)+((((Inputs!B5)*(Inputs!B20))+(IF(Inputs!B24="Yes",((Summary!B14)*(1+0.1))*(Inputs!B25),0)))*(Inputs!B22))+((((Inputs!B5)*(Inputs!B20))+(IF(Inputs!B24="Yes",((Summary!B14)*(1+0.1))*(Inputs!B25),0)))*(Inputs!B23)))+(((Summary!B17)-(Inputs!B6)*(Inputs!B40))+((Inputs!B6)*(1+-0.1))*(Inputs!B40)))</f>
        <v>-33745</v>
      </c>
      <c r="C10" s="16">
        <f>((Inputs!B6)*(1+-0.05))-((Summary!B13)+((Summary!B14)*(1+0.1))+(Summary!B15)+(((((Inputs!B5)*(Inputs!B20))+(IF(Inputs!B24="Yes",((Summary!B14)*(1+0.1))*(Inputs!B25),0))*(Inputs!B26))*(Inputs!B21)*(Inputs!B10)/12)+((((Inputs!B5)*(Inputs!B20))+(IF(Inputs!B24="Yes",((Summary!B14)*(1+0.1))*(Inputs!B25),0)))*(Inputs!B22))+((((Inputs!B5)*(Inputs!B20))+(IF(Inputs!B24="Yes",((Summary!B14)*(1+0.1))*(Inputs!B25),0)))*(Inputs!B23)))+(((Summary!B17)-(Inputs!B6)*(Inputs!B40))+((Inputs!B6)*(1+-0.05))*(Inputs!B40)))</f>
        <v>-17985</v>
      </c>
      <c r="D10" s="16">
        <f>((Inputs!B6)*(1+0))-((Summary!B13)+((Summary!B14)*(1+0.1))+(Summary!B15)+(((((Inputs!B5)*(Inputs!B20))+(IF(Inputs!B24="Yes",((Summary!B14)*(1+0.1))*(Inputs!B25),0))*(Inputs!B26))*(Inputs!B21)*(Inputs!B10)/12)+((((Inputs!B5)*(Inputs!B20))+(IF(Inputs!B24="Yes",((Summary!B14)*(1+0.1))*(Inputs!B25),0)))*(Inputs!B22))+((((Inputs!B5)*(Inputs!B20))+(IF(Inputs!B24="Yes",((Summary!B14)*(1+0.1))*(Inputs!B25),0)))*(Inputs!B23)))+(((Summary!B17)-(Inputs!B6)*(Inputs!B40))+((Inputs!B6)*(1+0))*(Inputs!B40)))</f>
        <v>-2225</v>
      </c>
      <c r="E10" s="16">
        <f>((Inputs!B6)*(1+0.05))-((Summary!B13)+((Summary!B14)*(1+0.1))+(Summary!B15)+(((((Inputs!B5)*(Inputs!B20))+(IF(Inputs!B24="Yes",((Summary!B14)*(1+0.1))*(Inputs!B25),0))*(Inputs!B26))*(Inputs!B21)*(Inputs!B10)/12)+((((Inputs!B5)*(Inputs!B20))+(IF(Inputs!B24="Yes",((Summary!B14)*(1+0.1))*(Inputs!B25),0)))*(Inputs!B22))+((((Inputs!B5)*(Inputs!B20))+(IF(Inputs!B24="Yes",((Summary!B14)*(1+0.1))*(Inputs!B25),0)))*(Inputs!B23)))+(((Summary!B17)-(Inputs!B6)*(Inputs!B40))+((Inputs!B6)*(1+0.05))*(Inputs!B40)))</f>
        <v>13535</v>
      </c>
      <c r="F10" s="16">
        <f>((Inputs!B6)*(1+0.1))-((Summary!B13)+((Summary!B14)*(1+0.1))+(Summary!B15)+(((((Inputs!B5)*(Inputs!B20))+(IF(Inputs!B24="Yes",((Summary!B14)*(1+0.1))*(Inputs!B25),0))*(Inputs!B26))*(Inputs!B21)*(Inputs!B10)/12)+((((Inputs!B5)*(Inputs!B20))+(IF(Inputs!B24="Yes",((Summary!B14)*(1+0.1))*(Inputs!B25),0)))*(Inputs!B22))+((((Inputs!B5)*(Inputs!B20))+(IF(Inputs!B24="Yes",((Summary!B14)*(1+0.1))*(Inputs!B25),0)))*(Inputs!B23)))+(((Summary!B17)-(Inputs!B6)*(Inputs!B40))+((Inputs!B6)*(1+0.1))*(Inputs!B40)))</f>
        <v>29295</v>
      </c>
    </row>
    <row r="11" spans="1:8" x14ac:dyDescent="0.2">
      <c r="A11" s="19">
        <v>0.2</v>
      </c>
      <c r="B11" s="16">
        <f>((Inputs!B6)*(1+-0.1))-((Summary!B13)+((Summary!B14)*(1+0.2))+(Summary!B15)+(((((Inputs!B5)*(Inputs!B20))+(IF(Inputs!B24="Yes",((Summary!B14)*(1+0.2))*(Inputs!B25),0))*(Inputs!B26))*(Inputs!B21)*(Inputs!B10)/12)+((((Inputs!B5)*(Inputs!B20))+(IF(Inputs!B24="Yes",((Summary!B14)*(1+0.2))*(Inputs!B25),0)))*(Inputs!B22))+((((Inputs!B5)*(Inputs!B20))+(IF(Inputs!B24="Yes",((Summary!B14)*(1+0.2))*(Inputs!B25),0)))*(Inputs!B23)))+(((Summary!B17)-(Inputs!B6)*(Inputs!B40))+((Inputs!B6)*(1+-0.1))*(Inputs!B40)))</f>
        <v>-36495</v>
      </c>
      <c r="C11" s="16">
        <f>((Inputs!B6)*(1+-0.05))-((Summary!B13)+((Summary!B14)*(1+0.2))+(Summary!B15)+(((((Inputs!B5)*(Inputs!B20))+(IF(Inputs!B24="Yes",((Summary!B14)*(1+0.2))*(Inputs!B25),0))*(Inputs!B26))*(Inputs!B21)*(Inputs!B10)/12)+((((Inputs!B5)*(Inputs!B20))+(IF(Inputs!B24="Yes",((Summary!B14)*(1+0.2))*(Inputs!B25),0)))*(Inputs!B22))+((((Inputs!B5)*(Inputs!B20))+(IF(Inputs!B24="Yes",((Summary!B14)*(1+0.2))*(Inputs!B25),0)))*(Inputs!B23)))+(((Summary!B17)-(Inputs!B6)*(Inputs!B40))+((Inputs!B6)*(1+-0.05))*(Inputs!B40)))</f>
        <v>-20735</v>
      </c>
      <c r="D11" s="16">
        <f>((Inputs!B6)*(1+0))-((Summary!B13)+((Summary!B14)*(1+0.2))+(Summary!B15)+(((((Inputs!B5)*(Inputs!B20))+(IF(Inputs!B24="Yes",((Summary!B14)*(1+0.2))*(Inputs!B25),0))*(Inputs!B26))*(Inputs!B21)*(Inputs!B10)/12)+((((Inputs!B5)*(Inputs!B20))+(IF(Inputs!B24="Yes",((Summary!B14)*(1+0.2))*(Inputs!B25),0)))*(Inputs!B22))+((((Inputs!B5)*(Inputs!B20))+(IF(Inputs!B24="Yes",((Summary!B14)*(1+0.2))*(Inputs!B25),0)))*(Inputs!B23)))+(((Summary!B17)-(Inputs!B6)*(Inputs!B40))+((Inputs!B6)*(1+0))*(Inputs!B40)))</f>
        <v>-4975</v>
      </c>
      <c r="E11" s="16">
        <f>((Inputs!B6)*(1+0.05))-((Summary!B13)+((Summary!B14)*(1+0.2))+(Summary!B15)+(((((Inputs!B5)*(Inputs!B20))+(IF(Inputs!B24="Yes",((Summary!B14)*(1+0.2))*(Inputs!B25),0))*(Inputs!B26))*(Inputs!B21)*(Inputs!B10)/12)+((((Inputs!B5)*(Inputs!B20))+(IF(Inputs!B24="Yes",((Summary!B14)*(1+0.2))*(Inputs!B25),0)))*(Inputs!B22))+((((Inputs!B5)*(Inputs!B20))+(IF(Inputs!B24="Yes",((Summary!B14)*(1+0.2))*(Inputs!B25),0)))*(Inputs!B23)))+(((Summary!B17)-(Inputs!B6)*(Inputs!B40))+((Inputs!B6)*(1+0.05))*(Inputs!B40)))</f>
        <v>10785</v>
      </c>
      <c r="F11" s="16">
        <f>((Inputs!B6)*(1+0.1))-((Summary!B13)+((Summary!B14)*(1+0.2))+(Summary!B15)+(((((Inputs!B5)*(Inputs!B20))+(IF(Inputs!B24="Yes",((Summary!B14)*(1+0.2))*(Inputs!B25),0))*(Inputs!B26))*(Inputs!B21)*(Inputs!B10)/12)+((((Inputs!B5)*(Inputs!B20))+(IF(Inputs!B24="Yes",((Summary!B14)*(1+0.2))*(Inputs!B25),0)))*(Inputs!B22))+((((Inputs!B5)*(Inputs!B20))+(IF(Inputs!B24="Yes",((Summary!B14)*(1+0.2))*(Inputs!B25),0)))*(Inputs!B23)))+(((Summary!B17)-(Inputs!B6)*(Inputs!B40))+((Inputs!B6)*(1+0.1))*(Inputs!B40)))</f>
        <v>26545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Summary</vt:lpstr>
      <vt:lpstr>Max Offer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Koprinka Aksaray</cp:lastModifiedBy>
  <dcterms:created xsi:type="dcterms:W3CDTF">2026-01-14T13:36:28Z</dcterms:created>
  <dcterms:modified xsi:type="dcterms:W3CDTF">2026-01-14T14:01:09Z</dcterms:modified>
</cp:coreProperties>
</file>