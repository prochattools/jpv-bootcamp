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PROPERTY 2021\Property Training 2023\JPV\website\Resources web JPV\"/>
    </mc:Choice>
  </mc:AlternateContent>
  <xr:revisionPtr revIDLastSave="0" documentId="13_ncr:20001_{4F9F24C1-95E4-4275-9454-6C357295149D}" xr6:coauthVersionLast="47" xr6:coauthVersionMax="47" xr10:uidLastSave="{00000000-0000-0000-0000-000000000000}"/>
  <bookViews>
    <workbookView xWindow="9930" yWindow="-120" windowWidth="14745" windowHeight="13515" activeTab="1" xr2:uid="{00000000-000D-0000-FFFF-FFFF00000000}"/>
  </bookViews>
  <sheets>
    <sheet name="London_SW10" sheetId="1" r:id="rId1"/>
    <sheet name="Wales_Template" sheetId="2" r:id="rId2"/>
  </sheets>
  <calcPr calcId="191029"/>
  <fileRecoveryPr repairLoad="1"/>
</workbook>
</file>

<file path=xl/calcChain.xml><?xml version="1.0" encoding="utf-8"?>
<calcChain xmlns="http://schemas.openxmlformats.org/spreadsheetml/2006/main">
  <c r="F18" i="2" l="1"/>
  <c r="F17" i="2"/>
  <c r="F16" i="2"/>
  <c r="F15" i="2"/>
  <c r="F14" i="2"/>
  <c r="F13" i="2"/>
  <c r="F12" i="2"/>
  <c r="F11" i="2"/>
  <c r="F10" i="2"/>
  <c r="F9" i="2"/>
  <c r="F8" i="2"/>
  <c r="G8" i="2" s="1"/>
  <c r="F7" i="2"/>
  <c r="G7" i="2" s="1"/>
  <c r="F6" i="2"/>
  <c r="G6" i="2" s="1"/>
  <c r="F5" i="2"/>
  <c r="G5" i="2" s="1"/>
  <c r="F4" i="2"/>
  <c r="G4" i="2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</calcChain>
</file>

<file path=xl/sharedStrings.xml><?xml version="1.0" encoding="utf-8"?>
<sst xmlns="http://schemas.openxmlformats.org/spreadsheetml/2006/main" count="112" uniqueCount="53">
  <si>
    <t>London — SW10 9TN (+1 mile)</t>
  </si>
  <si>
    <t>Area (Postcode/Address)</t>
  </si>
  <si>
    <t>Agent</t>
  </si>
  <si>
    <t>Bedrooms</t>
  </si>
  <si>
    <t>Price</t>
  </si>
  <si>
    <t>Rental (pcm)</t>
  </si>
  <si>
    <t>Annual Rent</t>
  </si>
  <si>
    <t>Gross Yield</t>
  </si>
  <si>
    <t>Notes</t>
  </si>
  <si>
    <t>SW5</t>
  </si>
  <si>
    <t>Douglas &amp; Gordon</t>
  </si>
  <si>
    <t>Studio</t>
  </si>
  <si>
    <t>W14</t>
  </si>
  <si>
    <t>GoView</t>
  </si>
  <si>
    <t>1 bedroom</t>
  </si>
  <si>
    <t>Foxtons</t>
  </si>
  <si>
    <t>Sloane Avenue</t>
  </si>
  <si>
    <t>KFH</t>
  </si>
  <si>
    <t>Battersea Church Road SW11</t>
  </si>
  <si>
    <t>BairstowEves</t>
  </si>
  <si>
    <t>Chelsea Cloisters</t>
  </si>
  <si>
    <t>Dexters</t>
  </si>
  <si>
    <t>Chelsea Cloisters SW3</t>
  </si>
  <si>
    <t>Marsh &amp; Parsons</t>
  </si>
  <si>
    <t>Sloane Avenue SW3</t>
  </si>
  <si>
    <t>Brompton Property Partners</t>
  </si>
  <si>
    <t>Bullen Street SW11</t>
  </si>
  <si>
    <t>John D Wood</t>
  </si>
  <si>
    <t>Finborough Road</t>
  </si>
  <si>
    <t>Barnard Marcus</t>
  </si>
  <si>
    <t>Wales — Template (fill in areas)</t>
  </si>
  <si>
    <t>Examples (edit/replace): Cardiff, Swansea, Newport, Wrexham, Bangor</t>
  </si>
  <si>
    <t>Cardiff (CF10)</t>
  </si>
  <si>
    <t>CPS Homes</t>
  </si>
  <si>
    <t>Illustrative estimate</t>
  </si>
  <si>
    <t>Jeffrey Ross</t>
  </si>
  <si>
    <t>Hern &amp; Crabtree</t>
  </si>
  <si>
    <t>Swansea (SA1)</t>
  </si>
  <si>
    <t>Dawsons</t>
  </si>
  <si>
    <t>John Francis</t>
  </si>
  <si>
    <t>Peter Alan</t>
  </si>
  <si>
    <t>Newport (NP20)</t>
  </si>
  <si>
    <t>Pinkmove</t>
  </si>
  <si>
    <t>Darlows</t>
  </si>
  <si>
    <t>Taylors</t>
  </si>
  <si>
    <t>Wrexham (LL11)</t>
  </si>
  <si>
    <t>Monopoly Buy Sell Let</t>
  </si>
  <si>
    <t>Reeds Rains</t>
  </si>
  <si>
    <t>Wingetts</t>
  </si>
  <si>
    <t>Bangor (LL57)</t>
  </si>
  <si>
    <t>Dafydd Hardy</t>
  </si>
  <si>
    <t>Beresford Adams</t>
  </si>
  <si>
    <t>Williams &amp; Goodwin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</si>
</sst>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164" formatCode="\£#,##0"/>
  </numFmts>
  <fonts count="6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11"/>
      <color rgb="FF0000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10" fontId="5" fillId="0" borderId="1" xfId="0" applyNumberFormat="1" applyFont="1" applyBorder="1" applyAlignment="1">
      <alignment vertical="center" wrapText="1"/>
    </xf>
    <xf numFmtId="0" fontId="5" fillId="0" borderId="0" xfId="0" applyFont="1"/>
    <xf numFmtId="0" fontId="4" fillId="3" borderId="0" xfId="0" applyFont="1" applyFill="1"/>
    <xf numFmtId="0" fontId="1" fillId="0" borderId="0" xfId="0" applyFont="1" applyAlignment="1">
      <alignment vertical="center"/>
    </xf>
    <xf numFmtId="0" fontId="0" fillId="0" borderId="0" xfId="0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6" fontId="4" fillId="3" borderId="0" xfId="0" applyNumberFormat="1" applyFont="1" applyFill="1"/>
    <xf numFmtId="10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ondon_SW10" displayName="Tbl_London_SW10" ref="A2:H13">
  <autoFilter ref="A2:H13" xr:uid="{00000000-0009-0000-0100-000001000000}"/>
  <tableColumns count="8">
    <tableColumn id="1" xr3:uid="{00000000-0010-0000-0000-000001000000}" name="Area (Postcode/Address)"/>
    <tableColumn id="2" xr3:uid="{00000000-0010-0000-0000-000002000000}" name="Agent"/>
    <tableColumn id="3" xr3:uid="{00000000-0010-0000-0000-000003000000}" name="Bedrooms"/>
    <tableColumn id="4" xr3:uid="{00000000-0010-0000-0000-000004000000}" name="Price"/>
    <tableColumn id="5" xr3:uid="{00000000-0010-0000-0000-000005000000}" name="Rental (pcm)"/>
    <tableColumn id="6" xr3:uid="{00000000-0010-0000-0000-000006000000}" name="Annual Rent"/>
    <tableColumn id="7" xr3:uid="{00000000-0010-0000-0000-000007000000}" name="Gross Yield"/>
    <tableColumn id="8" xr3:uid="{00000000-0010-0000-0000-000008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>
      <pane ySplit="2" topLeftCell="A3" activePane="bottomLeft" state="frozen"/>
      <selection pane="bottomLeft" activeCell="E30" sqref="E30"/>
    </sheetView>
  </sheetViews>
  <sheetFormatPr defaultRowHeight="15"/>
  <cols>
    <col min="1" max="1" width="26" customWidth="1"/>
    <col min="2" max="2" width="22" customWidth="1"/>
    <col min="3" max="5" width="12" customWidth="1"/>
    <col min="6" max="6" width="13" customWidth="1"/>
    <col min="7" max="7" width="12" customWidth="1"/>
    <col min="8" max="8" width="22" customWidth="1"/>
  </cols>
  <sheetData>
    <row r="1" spans="1:8" ht="21">
      <c r="A1" s="12" t="s">
        <v>0</v>
      </c>
      <c r="B1" s="13"/>
      <c r="C1" s="13"/>
      <c r="D1" s="13"/>
      <c r="E1" s="13"/>
      <c r="F1" s="13"/>
      <c r="G1" s="13"/>
      <c r="H1" s="13"/>
    </row>
    <row r="2" spans="1:8" ht="3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2" t="s">
        <v>9</v>
      </c>
      <c r="B3" s="2" t="s">
        <v>10</v>
      </c>
      <c r="C3" s="2" t="s">
        <v>11</v>
      </c>
      <c r="D3" s="3">
        <v>225000</v>
      </c>
      <c r="E3" s="3">
        <v>1712</v>
      </c>
      <c r="F3" s="3">
        <f t="shared" ref="F3:F13" si="0">E3*12</f>
        <v>20544</v>
      </c>
      <c r="G3" s="4">
        <f t="shared" ref="G3:G13" si="1">IFERROR(F3/D3,"")</f>
        <v>9.1306666666666661E-2</v>
      </c>
      <c r="H3" s="2"/>
    </row>
    <row r="4" spans="1:8">
      <c r="A4" s="2" t="s">
        <v>12</v>
      </c>
      <c r="B4" s="2" t="s">
        <v>13</v>
      </c>
      <c r="C4" s="2" t="s">
        <v>14</v>
      </c>
      <c r="D4" s="3">
        <v>250000</v>
      </c>
      <c r="E4" s="3">
        <v>2275</v>
      </c>
      <c r="F4" s="3">
        <f t="shared" si="0"/>
        <v>27300</v>
      </c>
      <c r="G4" s="4">
        <f t="shared" si="1"/>
        <v>0.10920000000000001</v>
      </c>
      <c r="H4" s="2"/>
    </row>
    <row r="5" spans="1:8">
      <c r="A5" s="2" t="s">
        <v>12</v>
      </c>
      <c r="B5" s="2" t="s">
        <v>15</v>
      </c>
      <c r="C5" s="2" t="s">
        <v>14</v>
      </c>
      <c r="D5" s="3">
        <v>250000</v>
      </c>
      <c r="E5" s="3">
        <v>2275</v>
      </c>
      <c r="F5" s="3">
        <f t="shared" si="0"/>
        <v>27300</v>
      </c>
      <c r="G5" s="4">
        <f t="shared" si="1"/>
        <v>0.10920000000000001</v>
      </c>
      <c r="H5" s="2"/>
    </row>
    <row r="6" spans="1:8">
      <c r="A6" s="2" t="s">
        <v>16</v>
      </c>
      <c r="B6" s="2" t="s">
        <v>17</v>
      </c>
      <c r="C6" s="2" t="s">
        <v>11</v>
      </c>
      <c r="D6" s="3">
        <v>250000</v>
      </c>
      <c r="E6" s="3">
        <v>1712</v>
      </c>
      <c r="F6" s="3">
        <f t="shared" si="0"/>
        <v>20544</v>
      </c>
      <c r="G6" s="4">
        <f t="shared" si="1"/>
        <v>8.2175999999999999E-2</v>
      </c>
      <c r="H6" s="2"/>
    </row>
    <row r="7" spans="1:8" ht="30">
      <c r="A7" s="2" t="s">
        <v>18</v>
      </c>
      <c r="B7" s="2" t="s">
        <v>19</v>
      </c>
      <c r="C7" s="2" t="s">
        <v>14</v>
      </c>
      <c r="D7" s="3">
        <v>260000</v>
      </c>
      <c r="E7" s="3">
        <v>2275</v>
      </c>
      <c r="F7" s="3">
        <f t="shared" si="0"/>
        <v>27300</v>
      </c>
      <c r="G7" s="4">
        <f t="shared" si="1"/>
        <v>0.105</v>
      </c>
      <c r="H7" s="2"/>
    </row>
    <row r="8" spans="1:8">
      <c r="A8" s="2" t="s">
        <v>20</v>
      </c>
      <c r="B8" s="2" t="s">
        <v>21</v>
      </c>
      <c r="C8" s="2" t="s">
        <v>11</v>
      </c>
      <c r="D8" s="3">
        <v>260000</v>
      </c>
      <c r="E8" s="3">
        <v>1712</v>
      </c>
      <c r="F8" s="3">
        <f t="shared" si="0"/>
        <v>20544</v>
      </c>
      <c r="G8" s="4">
        <f t="shared" si="1"/>
        <v>7.9015384615384612E-2</v>
      </c>
      <c r="H8" s="2"/>
    </row>
    <row r="9" spans="1:8">
      <c r="A9" s="2" t="s">
        <v>22</v>
      </c>
      <c r="B9" s="2" t="s">
        <v>23</v>
      </c>
      <c r="C9" s="2" t="s">
        <v>11</v>
      </c>
      <c r="D9" s="3">
        <v>275000</v>
      </c>
      <c r="E9" s="3">
        <v>1712</v>
      </c>
      <c r="F9" s="3">
        <f t="shared" si="0"/>
        <v>20544</v>
      </c>
      <c r="G9" s="4">
        <f t="shared" si="1"/>
        <v>7.4705454545454547E-2</v>
      </c>
      <c r="H9" s="2"/>
    </row>
    <row r="10" spans="1:8" ht="30">
      <c r="A10" s="2" t="s">
        <v>24</v>
      </c>
      <c r="B10" s="2" t="s">
        <v>25</v>
      </c>
      <c r="C10" s="2" t="s">
        <v>11</v>
      </c>
      <c r="D10" s="3">
        <v>275000</v>
      </c>
      <c r="E10" s="3">
        <v>1712</v>
      </c>
      <c r="F10" s="3">
        <f t="shared" si="0"/>
        <v>20544</v>
      </c>
      <c r="G10" s="4">
        <f t="shared" si="1"/>
        <v>7.4705454545454547E-2</v>
      </c>
      <c r="H10" s="2"/>
    </row>
    <row r="11" spans="1:8">
      <c r="A11" s="2" t="s">
        <v>26</v>
      </c>
      <c r="B11" s="2" t="s">
        <v>27</v>
      </c>
      <c r="C11" s="2" t="s">
        <v>14</v>
      </c>
      <c r="D11" s="3">
        <v>275000</v>
      </c>
      <c r="E11" s="3">
        <v>2275</v>
      </c>
      <c r="F11" s="3">
        <f t="shared" si="0"/>
        <v>27300</v>
      </c>
      <c r="G11" s="4">
        <f t="shared" si="1"/>
        <v>9.9272727272727276E-2</v>
      </c>
      <c r="H11" s="2"/>
    </row>
    <row r="12" spans="1:8">
      <c r="A12" s="2" t="s">
        <v>28</v>
      </c>
      <c r="B12" s="2" t="s">
        <v>29</v>
      </c>
      <c r="C12" s="2" t="s">
        <v>11</v>
      </c>
      <c r="D12" s="3">
        <v>300000</v>
      </c>
      <c r="E12" s="3">
        <v>1500</v>
      </c>
      <c r="F12" s="3">
        <f t="shared" si="0"/>
        <v>18000</v>
      </c>
      <c r="G12" s="4">
        <f t="shared" si="1"/>
        <v>0.06</v>
      </c>
      <c r="H12" s="2"/>
    </row>
    <row r="13" spans="1:8">
      <c r="A13" s="2" t="s">
        <v>28</v>
      </c>
      <c r="B13" s="2" t="s">
        <v>27</v>
      </c>
      <c r="C13" s="2" t="s">
        <v>11</v>
      </c>
      <c r="D13" s="3">
        <v>300000</v>
      </c>
      <c r="E13" s="3">
        <v>1500</v>
      </c>
      <c r="F13" s="3">
        <f t="shared" si="0"/>
        <v>18000</v>
      </c>
      <c r="G13" s="4">
        <f t="shared" si="1"/>
        <v>0.06</v>
      </c>
      <c r="H13" s="2"/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showGridLines="0" tabSelected="1" workbookViewId="0">
      <pane ySplit="2" topLeftCell="A3" activePane="bottomLeft" state="frozen"/>
      <selection pane="bottomLeft" activeCell="K19" sqref="K19"/>
    </sheetView>
  </sheetViews>
  <sheetFormatPr defaultRowHeight="15"/>
  <cols>
    <col min="1" max="1" width="26" customWidth="1"/>
    <col min="2" max="2" width="22" customWidth="1"/>
    <col min="3" max="5" width="12" customWidth="1"/>
    <col min="6" max="6" width="13" customWidth="1"/>
    <col min="7" max="7" width="12" customWidth="1"/>
    <col min="8" max="8" width="22" customWidth="1"/>
  </cols>
  <sheetData>
    <row r="1" spans="1:8" ht="21">
      <c r="A1" s="12" t="s">
        <v>30</v>
      </c>
      <c r="B1" s="13"/>
      <c r="C1" s="13"/>
      <c r="D1" s="13"/>
      <c r="E1" s="13"/>
      <c r="F1" s="13"/>
      <c r="G1" s="13"/>
      <c r="H1" s="13"/>
    </row>
    <row r="2" spans="1:8" ht="3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14" t="s">
        <v>31</v>
      </c>
      <c r="B3" s="15"/>
      <c r="C3" s="15"/>
      <c r="D3" s="15"/>
      <c r="E3" s="15"/>
      <c r="F3" s="15"/>
      <c r="G3" s="15"/>
      <c r="H3" s="16"/>
    </row>
    <row r="4" spans="1:8">
      <c r="A4" s="7" t="s">
        <v>32</v>
      </c>
      <c r="B4" s="5" t="s">
        <v>33</v>
      </c>
      <c r="C4" s="5" t="s">
        <v>14</v>
      </c>
      <c r="D4" s="6">
        <v>260000</v>
      </c>
      <c r="E4" s="6">
        <v>1350</v>
      </c>
      <c r="F4" s="8">
        <f t="shared" ref="F4:F18" si="0">IFERROR(E4*12,"")</f>
        <v>16200</v>
      </c>
      <c r="G4" s="9">
        <f t="shared" ref="G4:G18" si="1">IFERROR(F4/D4,"")</f>
        <v>6.2307692307692307E-2</v>
      </c>
      <c r="H4" s="7" t="s">
        <v>34</v>
      </c>
    </row>
    <row r="5" spans="1:8">
      <c r="A5" s="7" t="s">
        <v>32</v>
      </c>
      <c r="B5" s="5" t="s">
        <v>35</v>
      </c>
      <c r="C5" s="5" t="s">
        <v>11</v>
      </c>
      <c r="D5" s="6">
        <v>220000</v>
      </c>
      <c r="E5" s="6">
        <v>1100</v>
      </c>
      <c r="F5" s="8">
        <f t="shared" si="0"/>
        <v>13200</v>
      </c>
      <c r="G5" s="9">
        <f t="shared" si="1"/>
        <v>0.06</v>
      </c>
      <c r="H5" s="7" t="s">
        <v>34</v>
      </c>
    </row>
    <row r="6" spans="1:8">
      <c r="A6" s="7" t="s">
        <v>32</v>
      </c>
      <c r="B6" s="5" t="s">
        <v>36</v>
      </c>
      <c r="C6" s="5" t="s">
        <v>14</v>
      </c>
      <c r="D6" s="6">
        <v>275000</v>
      </c>
      <c r="E6" s="6">
        <v>1450</v>
      </c>
      <c r="F6" s="8">
        <f t="shared" si="0"/>
        <v>17400</v>
      </c>
      <c r="G6" s="9">
        <f t="shared" si="1"/>
        <v>6.3272727272727272E-2</v>
      </c>
      <c r="H6" s="7" t="s">
        <v>34</v>
      </c>
    </row>
    <row r="7" spans="1:8">
      <c r="A7" s="7" t="s">
        <v>37</v>
      </c>
      <c r="B7" s="5" t="s">
        <v>38</v>
      </c>
      <c r="C7" s="5" t="s">
        <v>14</v>
      </c>
      <c r="D7" s="6">
        <v>190000</v>
      </c>
      <c r="E7" s="6">
        <v>850</v>
      </c>
      <c r="F7" s="8">
        <f t="shared" si="0"/>
        <v>10200</v>
      </c>
      <c r="G7" s="9">
        <f t="shared" si="1"/>
        <v>5.3684210526315793E-2</v>
      </c>
      <c r="H7" s="7" t="s">
        <v>34</v>
      </c>
    </row>
    <row r="8" spans="1:8">
      <c r="A8" s="7" t="s">
        <v>37</v>
      </c>
      <c r="B8" s="5" t="s">
        <v>39</v>
      </c>
      <c r="C8" s="5" t="s">
        <v>11</v>
      </c>
      <c r="D8" s="6">
        <v>150000</v>
      </c>
      <c r="E8" s="6">
        <v>700</v>
      </c>
      <c r="F8" s="8">
        <f t="shared" si="0"/>
        <v>8400</v>
      </c>
      <c r="G8" s="9">
        <f t="shared" si="1"/>
        <v>5.6000000000000001E-2</v>
      </c>
      <c r="H8" s="7" t="s">
        <v>34</v>
      </c>
    </row>
    <row r="9" spans="1:8">
      <c r="A9" s="10" t="s">
        <v>37</v>
      </c>
      <c r="B9" s="11" t="s">
        <v>40</v>
      </c>
      <c r="C9" s="11" t="s">
        <v>14</v>
      </c>
      <c r="D9" s="17">
        <v>210000</v>
      </c>
      <c r="E9" s="11">
        <v>900</v>
      </c>
      <c r="F9" s="10">
        <f t="shared" si="0"/>
        <v>10800</v>
      </c>
      <c r="G9" s="18">
        <v>5.1400000000000001E-2</v>
      </c>
      <c r="H9" s="10" t="s">
        <v>34</v>
      </c>
    </row>
    <row r="10" spans="1:8">
      <c r="A10" s="10" t="s">
        <v>41</v>
      </c>
      <c r="B10" s="11" t="s">
        <v>42</v>
      </c>
      <c r="C10" s="11" t="s">
        <v>14</v>
      </c>
      <c r="D10" s="17">
        <v>185000</v>
      </c>
      <c r="E10" s="11">
        <v>850</v>
      </c>
      <c r="F10" s="10">
        <f t="shared" si="0"/>
        <v>10200</v>
      </c>
      <c r="G10" s="18">
        <v>5.5100000000000003E-2</v>
      </c>
      <c r="H10" s="10" t="s">
        <v>34</v>
      </c>
    </row>
    <row r="11" spans="1:8">
      <c r="A11" s="10" t="s">
        <v>41</v>
      </c>
      <c r="B11" s="11" t="s">
        <v>43</v>
      </c>
      <c r="C11" s="11" t="s">
        <v>11</v>
      </c>
      <c r="D11" s="17">
        <v>140000</v>
      </c>
      <c r="E11" s="11">
        <v>725</v>
      </c>
      <c r="F11" s="10">
        <f t="shared" si="0"/>
        <v>8700</v>
      </c>
      <c r="G11" s="18">
        <v>6.2100000000000002E-2</v>
      </c>
      <c r="H11" s="10" t="s">
        <v>34</v>
      </c>
    </row>
    <row r="12" spans="1:8">
      <c r="A12" s="10" t="s">
        <v>41</v>
      </c>
      <c r="B12" s="11" t="s">
        <v>44</v>
      </c>
      <c r="C12" s="11" t="s">
        <v>14</v>
      </c>
      <c r="D12" s="17">
        <v>200000</v>
      </c>
      <c r="E12" s="11">
        <v>900</v>
      </c>
      <c r="F12" s="10">
        <f t="shared" si="0"/>
        <v>10800</v>
      </c>
      <c r="G12" s="18">
        <v>5.3999999999999999E-2</v>
      </c>
      <c r="H12" s="10" t="s">
        <v>34</v>
      </c>
    </row>
    <row r="13" spans="1:8">
      <c r="A13" s="10" t="s">
        <v>45</v>
      </c>
      <c r="B13" s="11" t="s">
        <v>46</v>
      </c>
      <c r="C13" s="11" t="s">
        <v>14</v>
      </c>
      <c r="D13" s="17">
        <v>175000</v>
      </c>
      <c r="E13" s="11">
        <v>750</v>
      </c>
      <c r="F13" s="10">
        <f t="shared" si="0"/>
        <v>9000</v>
      </c>
      <c r="G13" s="18">
        <v>5.1400000000000001E-2</v>
      </c>
      <c r="H13" s="10" t="s">
        <v>34</v>
      </c>
    </row>
    <row r="14" spans="1:8">
      <c r="A14" s="10" t="s">
        <v>45</v>
      </c>
      <c r="B14" s="11" t="s">
        <v>47</v>
      </c>
      <c r="C14" s="11" t="s">
        <v>11</v>
      </c>
      <c r="D14" s="17">
        <v>130000</v>
      </c>
      <c r="E14" s="11">
        <v>625</v>
      </c>
      <c r="F14" s="10">
        <f t="shared" si="0"/>
        <v>7500</v>
      </c>
      <c r="G14" s="18">
        <v>5.7700000000000001E-2</v>
      </c>
      <c r="H14" s="10" t="s">
        <v>34</v>
      </c>
    </row>
    <row r="15" spans="1:8">
      <c r="A15" s="10" t="s">
        <v>45</v>
      </c>
      <c r="B15" s="11" t="s">
        <v>48</v>
      </c>
      <c r="C15" s="11" t="s">
        <v>14</v>
      </c>
      <c r="D15" s="17">
        <v>185000</v>
      </c>
      <c r="E15" s="11">
        <v>775</v>
      </c>
      <c r="F15" s="10">
        <f t="shared" si="0"/>
        <v>9300</v>
      </c>
      <c r="G15" s="18">
        <v>5.0299999999999997E-2</v>
      </c>
      <c r="H15" s="10" t="s">
        <v>34</v>
      </c>
    </row>
    <row r="16" spans="1:8">
      <c r="A16" s="10" t="s">
        <v>49</v>
      </c>
      <c r="B16" s="11" t="s">
        <v>50</v>
      </c>
      <c r="C16" s="11" t="s">
        <v>14</v>
      </c>
      <c r="D16" s="17">
        <v>165000</v>
      </c>
      <c r="E16" s="11">
        <v>725</v>
      </c>
      <c r="F16" s="10">
        <f t="shared" si="0"/>
        <v>8700</v>
      </c>
      <c r="G16" s="18">
        <v>5.2699999999999997E-2</v>
      </c>
      <c r="H16" s="10" t="s">
        <v>34</v>
      </c>
    </row>
    <row r="17" spans="1:8">
      <c r="A17" s="10" t="s">
        <v>49</v>
      </c>
      <c r="B17" s="11" t="s">
        <v>51</v>
      </c>
      <c r="C17" s="11" t="s">
        <v>11</v>
      </c>
      <c r="D17" s="17">
        <v>125000</v>
      </c>
      <c r="E17" s="11">
        <v>600</v>
      </c>
      <c r="F17" s="10">
        <f t="shared" si="0"/>
        <v>7200</v>
      </c>
      <c r="G17" s="18">
        <v>5.7599999999999998E-2</v>
      </c>
      <c r="H17" s="10" t="s">
        <v>34</v>
      </c>
    </row>
    <row r="18" spans="1:8">
      <c r="A18" s="10" t="s">
        <v>49</v>
      </c>
      <c r="B18" s="11" t="s">
        <v>52</v>
      </c>
      <c r="C18" s="11" t="s">
        <v>14</v>
      </c>
      <c r="D18" s="17">
        <v>175000</v>
      </c>
      <c r="E18" s="11">
        <v>750</v>
      </c>
      <c r="F18" s="10">
        <f t="shared" si="0"/>
        <v>9000</v>
      </c>
      <c r="G18" s="18">
        <v>5.1400000000000001E-2</v>
      </c>
      <c r="H18" s="10" t="s">
        <v>34</v>
      </c>
    </row>
    <row r="19" spans="1:8">
      <c r="A19" s="10"/>
      <c r="B19" s="10"/>
      <c r="C19" s="10"/>
      <c r="D19" s="10"/>
      <c r="E19" s="10"/>
      <c r="F19" s="10"/>
      <c r="G19" s="10"/>
      <c r="H19" s="10"/>
    </row>
    <row r="20" spans="1:8">
      <c r="A20" s="10"/>
      <c r="B20" s="10"/>
      <c r="C20" s="10"/>
      <c r="D20" s="10"/>
      <c r="E20" s="10"/>
      <c r="F20" s="10"/>
      <c r="G20" s="10"/>
      <c r="H20" s="10"/>
    </row>
    <row r="21" spans="1:8">
      <c r="A21" s="10"/>
      <c r="B21" s="10"/>
      <c r="C21" s="10"/>
      <c r="D21" s="10"/>
      <c r="E21" s="10"/>
      <c r="F21" s="10"/>
      <c r="G21" s="10"/>
      <c r="H21" s="10"/>
    </row>
    <row r="22" spans="1:8">
      <c r="A22" s="10"/>
      <c r="B22" s="10"/>
      <c r="C22" s="10"/>
      <c r="D22" s="10"/>
      <c r="E22" s="10"/>
      <c r="F22" s="10"/>
      <c r="G22" s="10"/>
      <c r="H22" s="10"/>
    </row>
    <row r="23" spans="1:8">
      <c r="A23" s="10"/>
      <c r="B23" s="10"/>
      <c r="C23" s="10"/>
      <c r="D23" s="10"/>
      <c r="E23" s="10"/>
      <c r="F23" s="10"/>
      <c r="G23" s="10"/>
      <c r="H23" s="10"/>
    </row>
    <row r="24" spans="1:8">
      <c r="A24" s="10"/>
      <c r="B24" s="10"/>
      <c r="C24" s="10"/>
      <c r="D24" s="10"/>
      <c r="E24" s="10"/>
      <c r="F24" s="10"/>
      <c r="G24" s="10"/>
      <c r="H24" s="10"/>
    </row>
    <row r="25" spans="1:8">
      <c r="A25" s="10"/>
      <c r="B25" s="10"/>
      <c r="C25" s="10"/>
      <c r="D25" s="10"/>
      <c r="E25" s="10"/>
      <c r="F25" s="10"/>
      <c r="G25" s="10"/>
      <c r="H25" s="10"/>
    </row>
    <row r="26" spans="1:8">
      <c r="A26" s="10"/>
      <c r="B26" s="10"/>
      <c r="C26" s="10"/>
      <c r="D26" s="10"/>
      <c r="E26" s="10"/>
      <c r="F26" s="10"/>
      <c r="G26" s="10"/>
      <c r="H26" s="10"/>
    </row>
    <row r="27" spans="1:8">
      <c r="A27" s="10"/>
      <c r="B27" s="10"/>
      <c r="C27" s="10"/>
      <c r="D27" s="10"/>
      <c r="E27" s="10"/>
      <c r="F27" s="10"/>
      <c r="G27" s="10"/>
      <c r="H27" s="10"/>
    </row>
    <row r="28" spans="1:8">
      <c r="A28" s="10"/>
      <c r="B28" s="10"/>
      <c r="C28" s="10"/>
      <c r="D28" s="10"/>
      <c r="E28" s="10"/>
      <c r="F28" s="10"/>
      <c r="G28" s="10"/>
      <c r="H28" s="10"/>
    </row>
    <row r="29" spans="1:8">
      <c r="A29" s="10"/>
      <c r="B29" s="10"/>
      <c r="C29" s="10"/>
      <c r="D29" s="10"/>
      <c r="E29" s="10"/>
      <c r="F29" s="10"/>
      <c r="G29" s="10"/>
      <c r="H29" s="10"/>
    </row>
    <row r="30" spans="1:8">
      <c r="A30" s="10"/>
      <c r="B30" s="10"/>
      <c r="C30" s="10"/>
      <c r="D30" s="10"/>
      <c r="E30" s="10"/>
      <c r="F30" s="10"/>
      <c r="G30" s="10"/>
      <c r="H30" s="10"/>
    </row>
    <row r="31" spans="1:8">
      <c r="A31" s="10"/>
      <c r="B31" s="10"/>
      <c r="C31" s="10"/>
      <c r="D31" s="10"/>
      <c r="E31" s="10"/>
      <c r="F31" s="10"/>
      <c r="G31" s="10"/>
      <c r="H31" s="10"/>
    </row>
    <row r="32" spans="1:8">
      <c r="A32" s="10"/>
      <c r="B32" s="10"/>
      <c r="C32" s="10"/>
      <c r="D32" s="10"/>
      <c r="E32" s="10"/>
      <c r="F32" s="10"/>
      <c r="G32" s="10"/>
      <c r="H32" s="10"/>
    </row>
    <row r="33" spans="1:8">
      <c r="A33" s="10"/>
      <c r="B33" s="10"/>
      <c r="C33" s="10"/>
      <c r="D33" s="10"/>
      <c r="E33" s="10"/>
      <c r="F33" s="10"/>
      <c r="G33" s="10"/>
      <c r="H33" s="10"/>
    </row>
    <row r="34" spans="1:8">
      <c r="A34" s="10"/>
      <c r="B34" s="10"/>
      <c r="C34" s="10"/>
      <c r="D34" s="10"/>
      <c r="E34" s="10"/>
      <c r="F34" s="10"/>
      <c r="G34" s="10"/>
      <c r="H34" s="10"/>
    </row>
    <row r="35" spans="1:8">
      <c r="A35" s="10"/>
      <c r="B35" s="10"/>
      <c r="C35" s="10"/>
      <c r="D35" s="10"/>
      <c r="E35" s="10"/>
      <c r="F35" s="10"/>
      <c r="G35" s="10"/>
      <c r="H35" s="10"/>
    </row>
    <row r="36" spans="1:8">
      <c r="A36" s="10"/>
      <c r="B36" s="10"/>
      <c r="C36" s="10"/>
      <c r="D36" s="10"/>
      <c r="E36" s="10"/>
      <c r="F36" s="10"/>
      <c r="G36" s="10"/>
      <c r="H36" s="10"/>
    </row>
    <row r="37" spans="1:8">
      <c r="A37" s="10"/>
      <c r="B37" s="10"/>
      <c r="C37" s="10"/>
      <c r="D37" s="10"/>
      <c r="E37" s="10"/>
      <c r="F37" s="10"/>
      <c r="G37" s="10"/>
      <c r="H37" s="10"/>
    </row>
    <row r="38" spans="1:8">
      <c r="A38" s="10"/>
      <c r="B38" s="10"/>
      <c r="C38" s="10"/>
      <c r="D38" s="10"/>
      <c r="E38" s="10"/>
      <c r="F38" s="10"/>
      <c r="G38" s="10"/>
      <c r="H38" s="10"/>
    </row>
    <row r="39" spans="1:8">
      <c r="A39" s="10"/>
      <c r="B39" s="10"/>
      <c r="C39" s="10"/>
      <c r="D39" s="10"/>
      <c r="E39" s="10"/>
      <c r="F39" s="10"/>
      <c r="G39" s="10"/>
      <c r="H39" s="10"/>
    </row>
    <row r="40" spans="1:8">
      <c r="A40" s="10"/>
      <c r="B40" s="10"/>
      <c r="C40" s="10"/>
      <c r="D40" s="10"/>
      <c r="E40" s="10"/>
      <c r="F40" s="10"/>
      <c r="G40" s="10"/>
      <c r="H40" s="10"/>
    </row>
    <row r="41" spans="1:8">
      <c r="A41" s="10"/>
      <c r="B41" s="10"/>
      <c r="C41" s="10"/>
      <c r="D41" s="10"/>
      <c r="E41" s="10"/>
      <c r="F41" s="10"/>
      <c r="G41" s="10"/>
      <c r="H41" s="10"/>
    </row>
    <row r="42" spans="1:8">
      <c r="A42" s="10"/>
      <c r="B42" s="10"/>
      <c r="C42" s="10"/>
      <c r="D42" s="10"/>
      <c r="E42" s="10"/>
      <c r="F42" s="10"/>
      <c r="G42" s="10"/>
      <c r="H42" s="10"/>
    </row>
    <row r="43" spans="1:8">
      <c r="A43" s="10"/>
      <c r="B43" s="10"/>
      <c r="C43" s="10"/>
      <c r="D43" s="10"/>
      <c r="E43" s="10"/>
      <c r="F43" s="10"/>
      <c r="G43" s="10"/>
      <c r="H43" s="10"/>
    </row>
    <row r="44" spans="1:8">
      <c r="A44" s="10"/>
      <c r="B44" s="10"/>
      <c r="C44" s="10"/>
      <c r="D44" s="10"/>
      <c r="E44" s="10"/>
      <c r="F44" s="10"/>
      <c r="G44" s="10"/>
      <c r="H44" s="10"/>
    </row>
    <row r="45" spans="1:8">
      <c r="A45" s="10"/>
      <c r="B45" s="10"/>
      <c r="C45" s="10"/>
      <c r="D45" s="10"/>
      <c r="E45" s="10"/>
      <c r="F45" s="10"/>
      <c r="G45" s="10"/>
      <c r="H45" s="10"/>
    </row>
    <row r="46" spans="1:8">
      <c r="A46" s="10"/>
      <c r="B46" s="10"/>
      <c r="C46" s="10"/>
      <c r="D46" s="10"/>
      <c r="E46" s="10"/>
      <c r="F46" s="10"/>
      <c r="G46" s="10"/>
      <c r="H46" s="10"/>
    </row>
    <row r="47" spans="1:8">
      <c r="A47" s="10"/>
      <c r="B47" s="10"/>
      <c r="C47" s="10"/>
      <c r="D47" s="10"/>
      <c r="E47" s="10"/>
      <c r="F47" s="10"/>
      <c r="G47" s="10"/>
      <c r="H47" s="10"/>
    </row>
    <row r="48" spans="1:8">
      <c r="A48" s="10"/>
      <c r="B48" s="10"/>
      <c r="C48" s="10"/>
      <c r="D48" s="10"/>
      <c r="E48" s="10"/>
      <c r="F48" s="10"/>
      <c r="G48" s="10"/>
      <c r="H48" s="10"/>
    </row>
    <row r="49" spans="1:8">
      <c r="A49" s="10"/>
      <c r="B49" s="10"/>
      <c r="C49" s="10"/>
      <c r="D49" s="10"/>
      <c r="E49" s="10"/>
      <c r="F49" s="10"/>
      <c r="G49" s="10"/>
      <c r="H49" s="10"/>
    </row>
  </sheetData>
  <mergeCells count="2">
    <mergeCell ref="A3:H3"/>
    <mergeCell ref="A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DE5A8C-84D2-4614-8B6F-9B438712BD2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London_SW10</vt:lpstr>
      <vt:lpstr>Wales_Template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hops lincoln</cp:lastModifiedBy>
  <dcterms:created xsi:type="dcterms:W3CDTF">2026-01-02T17:20:18Z</dcterms:created>
  <dcterms:modified xsi:type="dcterms:W3CDTF">2026-01-02T17:39:18Z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{59DE5A8C-84D2-4614-8B6F-9B438712BD28}</vt:lpwstr>
  </property>
</Properties>
</file>