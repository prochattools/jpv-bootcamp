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PROPERTY 2021\Property Training 2023\JPV\website\Resources web JPV\"/>
    </mc:Choice>
  </mc:AlternateContent>
  <xr:revisionPtr revIDLastSave="0" documentId="13_ncr:1_{81CC2D81-B264-481D-9206-10C30BBB93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 " sheetId="1" r:id="rId1"/>
    <sheet name="Income" sheetId="2" r:id="rId2"/>
    <sheet name="Expens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uri="GoogleSheetsCustomDataVersion1">
      <go:sheetsCustomData xmlns:go="http://customooxmlschemas.google.com/" r:id="rId7" roundtripDataSignature="AMtx7mia4hleImguRA5j/E+g5WJZbZUiqg=="/>
    </ext>
  </extLst>
</workbook>
</file>

<file path=xl/calcChain.xml><?xml version="1.0" encoding="utf-8"?>
<calcChain xmlns="http://schemas.openxmlformats.org/spreadsheetml/2006/main">
  <c r="C41" i="3" l="1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L21" i="3" s="1"/>
  <c r="A2" i="3"/>
  <c r="K22" i="2"/>
  <c r="H22" i="2"/>
  <c r="G22" i="2"/>
  <c r="F22" i="2"/>
  <c r="B22" i="2"/>
  <c r="A2" i="2"/>
  <c r="I35" i="1"/>
  <c r="I38" i="1" s="1"/>
  <c r="B31" i="1"/>
  <c r="K31" i="1" s="1"/>
  <c r="E30" i="1"/>
  <c r="L30" i="1" s="1"/>
  <c r="B30" i="1"/>
  <c r="K30" i="1" s="1"/>
  <c r="E29" i="1"/>
  <c r="L29" i="1" s="1"/>
  <c r="B29" i="1"/>
  <c r="K29" i="1" s="1"/>
  <c r="E28" i="1"/>
  <c r="L28" i="1" s="1"/>
  <c r="B28" i="1"/>
  <c r="K28" i="1" s="1"/>
  <c r="E27" i="1"/>
  <c r="L27" i="1" s="1"/>
  <c r="B27" i="1"/>
  <c r="K27" i="1" s="1"/>
  <c r="E26" i="1"/>
  <c r="L26" i="1" s="1"/>
  <c r="B26" i="1"/>
  <c r="K26" i="1" s="1"/>
  <c r="E25" i="1"/>
  <c r="L25" i="1" s="1"/>
  <c r="B25" i="1"/>
  <c r="K25" i="1" s="1"/>
  <c r="E24" i="1"/>
  <c r="L24" i="1" s="1"/>
  <c r="B24" i="1"/>
  <c r="K24" i="1" s="1"/>
  <c r="E23" i="1"/>
  <c r="L23" i="1" s="1"/>
  <c r="B23" i="1"/>
  <c r="K23" i="1" s="1"/>
  <c r="E22" i="1"/>
  <c r="L22" i="1" s="1"/>
  <c r="B22" i="1"/>
  <c r="K22" i="1" s="1"/>
  <c r="E21" i="1"/>
  <c r="L21" i="1" s="1"/>
  <c r="B21" i="1"/>
  <c r="K21" i="1" s="1"/>
  <c r="E20" i="1"/>
  <c r="L20" i="1" s="1"/>
  <c r="B20" i="1"/>
  <c r="K20" i="1" s="1"/>
  <c r="E19" i="1"/>
  <c r="L19" i="1" s="1"/>
  <c r="B19" i="1"/>
  <c r="K19" i="1" s="1"/>
  <c r="E18" i="1"/>
  <c r="L18" i="1" s="1"/>
  <c r="B18" i="1"/>
  <c r="K18" i="1" s="1"/>
  <c r="E17" i="1"/>
  <c r="B17" i="1"/>
  <c r="K17" i="1" s="1"/>
  <c r="K15" i="1"/>
  <c r="G12" i="1"/>
  <c r="B12" i="1"/>
  <c r="K12" i="1" s="1"/>
  <c r="K10" i="1"/>
  <c r="E31" i="1" l="1"/>
  <c r="L31" i="1" s="1"/>
  <c r="M12" i="1"/>
  <c r="E35" i="1"/>
  <c r="L17" i="1"/>
  <c r="L35" i="1" l="1"/>
  <c r="G38" i="1"/>
  <c r="L3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1" authorId="0" shapeId="0" xr:uid="{00000000-0006-0000-0000-000002000000}">
      <text>
        <r>
          <rPr>
            <sz val="10"/>
            <color rgb="FF000000"/>
            <rFont val="Calibri"/>
            <scheme val="minor"/>
          </rPr>
          <t>======
ID#AAAAI0GuuY0
NB    (2021-01-14 00:11:28)
Do not post onto Iris - Automatically calculated when furnished let</t>
        </r>
      </text>
    </comment>
    <comment ref="L31" authorId="0" shapeId="0" xr:uid="{00000000-0006-0000-0000-000001000000}">
      <text>
        <r>
          <rPr>
            <sz val="10"/>
            <color rgb="FF000000"/>
            <rFont val="Calibri"/>
            <scheme val="minor"/>
          </rPr>
          <t>======
ID#AAAAI0GuuY4
NB    (2021-01-14 00:11:28)
Do not post onto Iris - Automatically calculated when furnished let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AElb7u0K0bsExAZedDWtJrRTqtA=="/>
    </ext>
  </extLst>
</comments>
</file>

<file path=xl/sharedStrings.xml><?xml version="1.0" encoding="utf-8"?>
<sst xmlns="http://schemas.openxmlformats.org/spreadsheetml/2006/main" count="122" uniqueCount="63">
  <si>
    <t>Property Details:</t>
  </si>
  <si>
    <t>Jointly Let?</t>
  </si>
  <si>
    <t>no</t>
  </si>
  <si>
    <t>Yes</t>
  </si>
  <si>
    <t>Furnished?</t>
  </si>
  <si>
    <t>yes</t>
  </si>
  <si>
    <t>No</t>
  </si>
  <si>
    <t xml:space="preserve">Tax year: </t>
  </si>
  <si>
    <t>Based on Split of:</t>
  </si>
  <si>
    <t>Each</t>
  </si>
  <si>
    <t>5th April 20XX</t>
  </si>
  <si>
    <t>£</t>
  </si>
  <si>
    <t>Allocation per person</t>
  </si>
  <si>
    <t>Income</t>
  </si>
  <si>
    <t>Expenses</t>
  </si>
  <si>
    <t>Profit</t>
  </si>
  <si>
    <t>COPYRIGHT © PREMIER PROPERTY EDUCATION LIMITED. ALL RIGHTS RESERVED.</t>
  </si>
  <si>
    <t>Rental income</t>
  </si>
  <si>
    <t>Bank interest</t>
  </si>
  <si>
    <t>Deposits received/refunded</t>
  </si>
  <si>
    <t>Bank:</t>
  </si>
  <si>
    <t>Account number:</t>
  </si>
  <si>
    <t>£ - Gross</t>
  </si>
  <si>
    <t>£- Tax</t>
  </si>
  <si>
    <t>£ - Net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</si>
  <si>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</si>
  <si>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</si>
  <si>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</si>
  <si>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</si>
  <si>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</si>
  <si>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</si>
  <si>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</si>
  <si>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</si>
  <si>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</si>
  <si>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</si>
  <si>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</si>
  <si>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</si>
  <si>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</si>
  <si>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>DO NOT POST BANK INT OR DEPOSITS ONTO RENTALS ON IRIS</t>
  </si>
  <si>
    <t>Water rates</t>
  </si>
  <si>
    <t>Council tax rates</t>
  </si>
  <si>
    <t>Gas saftey</t>
  </si>
  <si>
    <t>Electricity</t>
  </si>
  <si>
    <t>Repairs &amp; renewals</t>
  </si>
  <si>
    <t>Cleaning</t>
  </si>
  <si>
    <t>SOLICITOR COST Mortgage DEALINGS</t>
  </si>
  <si>
    <t>Letting fees</t>
  </si>
  <si>
    <t>Management fee</t>
  </si>
  <si>
    <t>Insurance</t>
  </si>
  <si>
    <t>Post &amp; stationery</t>
  </si>
  <si>
    <t>Advertising</t>
  </si>
  <si>
    <t>Mortgage interest</t>
  </si>
  <si>
    <t>Accountancy costs</t>
  </si>
  <si>
    <t>LIFE INSURANCE</t>
  </si>
  <si>
    <t xml:space="preserve">Re-Mortgage Fees </t>
  </si>
  <si>
    <t>Subscription</t>
  </si>
  <si>
    <t>Capital expenses £</t>
  </si>
  <si>
    <t>Date of capital expense</t>
  </si>
  <si>
    <t>Details</t>
  </si>
  <si>
    <t>Total expenses</t>
  </si>
  <si>
    <t>Deposits returned to tenants</t>
  </si>
  <si>
    <t>DO NOT POST INTO RENTALS ON IRIS</t>
  </si>
  <si>
    <t>JPV BOOTCAMP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</si>
</sst>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0"/>
      <color rgb="FF3366FF"/>
      <name val="Tahoma"/>
    </font>
    <font>
      <sz val="10"/>
      <color theme="1"/>
      <name val="Tahoma"/>
    </font>
    <font>
      <b/>
      <sz val="10"/>
      <color theme="1"/>
      <name val="Tahoma"/>
    </font>
    <font>
      <sz val="10"/>
      <color rgb="FF3366FF"/>
      <name val="Tahoma"/>
    </font>
    <font>
      <sz val="10"/>
      <name val="Calibri"/>
    </font>
    <font>
      <b/>
      <u/>
      <sz val="10"/>
      <color theme="1"/>
      <name val="Tahoma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medium">
        <color rgb="FF000000"/>
      </right>
      <top style="thin">
        <color rgb="FFC0C0C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1">
    <xf numFmtId="0" fontId="0" fillId="0" borderId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9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9" fillId="11" borderId="0" applyNumberFormat="0" applyBorder="0" applyAlignment="0" applyProtection="0"/>
    <xf numFmtId="0" fontId="1" fillId="12" borderId="0" applyNumberFormat="0" applyBorder="0" applyAlignment="0" applyProtection="0"/>
  </cellStyleXfs>
  <cellXfs count="131">
    <xf numFmtId="0" fontId="0" fillId="0" borderId="0" xfId="0"/>
    <xf numFmtId="2" fontId="3" fillId="0" borderId="0" xfId="0" applyNumberFormat="1" applyFont="1"/>
    <xf numFmtId="2" fontId="4" fillId="2" borderId="1" xfId="0" applyNumberFormat="1" applyFont="1" applyFill="1" applyBorder="1"/>
    <xf numFmtId="2" fontId="3" fillId="2" borderId="2" xfId="0" applyNumberFormat="1" applyFont="1" applyFill="1" applyBorder="1"/>
    <xf numFmtId="2" fontId="3" fillId="2" borderId="3" xfId="0" applyNumberFormat="1" applyFont="1" applyFill="1" applyBorder="1"/>
    <xf numFmtId="2" fontId="4" fillId="2" borderId="4" xfId="0" applyNumberFormat="1" applyFont="1" applyFill="1" applyBorder="1"/>
    <xf numFmtId="2" fontId="5" fillId="2" borderId="5" xfId="0" applyNumberFormat="1" applyFont="1" applyFill="1" applyBorder="1"/>
    <xf numFmtId="2" fontId="3" fillId="2" borderId="6" xfId="0" applyNumberFormat="1" applyFont="1" applyFill="1" applyBorder="1" applyAlignment="1">
      <alignment horizontal="left"/>
    </xf>
    <xf numFmtId="2" fontId="3" fillId="2" borderId="6" xfId="0" applyNumberFormat="1" applyFont="1" applyFill="1" applyBorder="1"/>
    <xf numFmtId="2" fontId="4" fillId="0" borderId="0" xfId="0" applyNumberFormat="1" applyFont="1" applyAlignment="1">
      <alignment horizontal="center"/>
    </xf>
    <xf numFmtId="2" fontId="3" fillId="2" borderId="4" xfId="0" applyNumberFormat="1" applyFont="1" applyFill="1" applyBorder="1"/>
    <xf numFmtId="2" fontId="3" fillId="2" borderId="4" xfId="0" applyNumberFormat="1" applyFont="1" applyFill="1" applyBorder="1" applyAlignment="1">
      <alignment horizontal="left"/>
    </xf>
    <xf numFmtId="9" fontId="5" fillId="2" borderId="5" xfId="0" applyNumberFormat="1" applyFont="1" applyFill="1" applyBorder="1"/>
    <xf numFmtId="2" fontId="3" fillId="0" borderId="0" xfId="0" applyNumberFormat="1" applyFont="1" applyAlignment="1">
      <alignment horizontal="center"/>
    </xf>
    <xf numFmtId="2" fontId="3" fillId="2" borderId="8" xfId="0" applyNumberFormat="1" applyFont="1" applyFill="1" applyBorder="1"/>
    <xf numFmtId="2" fontId="5" fillId="0" borderId="0" xfId="0" applyNumberFormat="1" applyFont="1"/>
    <xf numFmtId="2" fontId="4" fillId="0" borderId="0" xfId="0" applyNumberFormat="1" applyFont="1"/>
    <xf numFmtId="0" fontId="3" fillId="0" borderId="0" xfId="0" applyFont="1"/>
    <xf numFmtId="0" fontId="3" fillId="0" borderId="18" xfId="0" applyFont="1" applyBorder="1"/>
    <xf numFmtId="0" fontId="4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wrapText="1"/>
    </xf>
    <xf numFmtId="0" fontId="3" fillId="0" borderId="27" xfId="0" applyFont="1" applyBorder="1"/>
    <xf numFmtId="0" fontId="3" fillId="0" borderId="28" xfId="0" applyFont="1" applyBorder="1"/>
    <xf numFmtId="0" fontId="3" fillId="0" borderId="29" xfId="0" applyFont="1" applyBorder="1"/>
    <xf numFmtId="0" fontId="3" fillId="0" borderId="30" xfId="0" applyFont="1" applyBorder="1"/>
    <xf numFmtId="0" fontId="3" fillId="0" borderId="0" xfId="0" applyFont="1" applyAlignment="1">
      <alignment horizontal="center"/>
    </xf>
    <xf numFmtId="0" fontId="3" fillId="0" borderId="32" xfId="0" applyFont="1" applyBorder="1"/>
    <xf numFmtId="0" fontId="3" fillId="0" borderId="33" xfId="0" applyFont="1" applyBorder="1"/>
    <xf numFmtId="0" fontId="3" fillId="0" borderId="34" xfId="0" applyFont="1" applyBorder="1"/>
    <xf numFmtId="2" fontId="3" fillId="2" borderId="7" xfId="0" applyNumberFormat="1" applyFont="1" applyFill="1" applyBorder="1"/>
    <xf numFmtId="0" fontId="7" fillId="0" borderId="0" xfId="0" applyFont="1" applyAlignment="1">
      <alignment horizontal="left"/>
    </xf>
    <xf numFmtId="2" fontId="3" fillId="2" borderId="9" xfId="0" applyNumberFormat="1" applyFont="1" applyFill="1" applyBorder="1"/>
    <xf numFmtId="0" fontId="6" fillId="0" borderId="10" xfId="0" applyFont="1" applyBorder="1"/>
    <xf numFmtId="2" fontId="2" fillId="0" borderId="0" xfId="0" applyNumberFormat="1" applyFont="1" applyAlignment="1">
      <alignment horizontal="center"/>
    </xf>
    <xf numFmtId="0" fontId="0" fillId="0" borderId="0" xfId="0"/>
    <xf numFmtId="14" fontId="4" fillId="0" borderId="0" xfId="0" applyNumberFormat="1" applyFont="1" applyAlignment="1">
      <alignment horizontal="center"/>
    </xf>
    <xf numFmtId="2" fontId="2" fillId="2" borderId="7" xfId="0" applyNumberFormat="1" applyFont="1" applyFill="1" applyBorder="1" applyAlignment="1">
      <alignment horizontal="center"/>
    </xf>
    <xf numFmtId="0" fontId="6" fillId="0" borderId="7" xfId="0" applyFont="1" applyBorder="1"/>
    <xf numFmtId="14" fontId="3" fillId="2" borderId="7" xfId="0" applyNumberFormat="1" applyFont="1" applyFill="1" applyBorder="1" applyAlignment="1">
      <alignment horizontal="center"/>
    </xf>
    <xf numFmtId="14" fontId="4" fillId="0" borderId="0" xfId="0" applyNumberFormat="1" applyFont="1" applyAlignment="1">
      <alignment wrapText="1"/>
    </xf>
    <xf numFmtId="2" fontId="8" fillId="3" borderId="1" xfId="1" applyNumberFormat="1" applyBorder="1"/>
    <xf numFmtId="2" fontId="8" fillId="3" borderId="2" xfId="1" applyNumberFormat="1" applyBorder="1"/>
    <xf numFmtId="2" fontId="8" fillId="3" borderId="3" xfId="1" applyNumberFormat="1" applyBorder="1"/>
    <xf numFmtId="2" fontId="8" fillId="3" borderId="4" xfId="1" applyNumberFormat="1" applyBorder="1"/>
    <xf numFmtId="2" fontId="8" fillId="3" borderId="7" xfId="1" applyNumberFormat="1" applyBorder="1"/>
    <xf numFmtId="2" fontId="8" fillId="3" borderId="6" xfId="1" applyNumberFormat="1" applyBorder="1"/>
    <xf numFmtId="2" fontId="8" fillId="3" borderId="8" xfId="1" applyNumberFormat="1" applyBorder="1"/>
    <xf numFmtId="2" fontId="8" fillId="3" borderId="9" xfId="1" applyNumberFormat="1" applyBorder="1"/>
    <xf numFmtId="2" fontId="8" fillId="3" borderId="10" xfId="1" applyNumberFormat="1" applyBorder="1"/>
    <xf numFmtId="2" fontId="8" fillId="3" borderId="33" xfId="1" applyNumberFormat="1" applyBorder="1"/>
    <xf numFmtId="2" fontId="1" fillId="6" borderId="1" xfId="4" applyNumberFormat="1" applyBorder="1"/>
    <xf numFmtId="2" fontId="1" fillId="6" borderId="2" xfId="4" applyNumberFormat="1" applyBorder="1"/>
    <xf numFmtId="2" fontId="1" fillId="6" borderId="3" xfId="4" applyNumberFormat="1" applyBorder="1"/>
    <xf numFmtId="2" fontId="1" fillId="6" borderId="4" xfId="4" applyNumberFormat="1" applyBorder="1"/>
    <xf numFmtId="2" fontId="1" fillId="6" borderId="7" xfId="4" applyNumberFormat="1" applyBorder="1"/>
    <xf numFmtId="2" fontId="1" fillId="6" borderId="6" xfId="4" applyNumberFormat="1" applyBorder="1"/>
    <xf numFmtId="2" fontId="1" fillId="6" borderId="8" xfId="4" applyNumberFormat="1" applyBorder="1"/>
    <xf numFmtId="2" fontId="1" fillId="6" borderId="9" xfId="4" applyNumberFormat="1" applyBorder="1"/>
    <xf numFmtId="2" fontId="1" fillId="6" borderId="10" xfId="4" applyNumberFormat="1" applyBorder="1" applyAlignment="1">
      <alignment horizontal="center"/>
    </xf>
    <xf numFmtId="2" fontId="9" fillId="4" borderId="1" xfId="2" applyNumberFormat="1" applyBorder="1"/>
    <xf numFmtId="2" fontId="9" fillId="4" borderId="2" xfId="2" applyNumberFormat="1" applyBorder="1"/>
    <xf numFmtId="2" fontId="9" fillId="4" borderId="3" xfId="2" applyNumberFormat="1" applyBorder="1"/>
    <xf numFmtId="2" fontId="9" fillId="4" borderId="4" xfId="2" applyNumberFormat="1" applyBorder="1"/>
    <xf numFmtId="2" fontId="9" fillId="4" borderId="7" xfId="2" applyNumberFormat="1" applyBorder="1"/>
    <xf numFmtId="2" fontId="9" fillId="4" borderId="6" xfId="2" applyNumberFormat="1" applyBorder="1"/>
    <xf numFmtId="2" fontId="9" fillId="4" borderId="11" xfId="2" applyNumberFormat="1" applyBorder="1"/>
    <xf numFmtId="2" fontId="9" fillId="4" borderId="8" xfId="2" applyNumberFormat="1" applyBorder="1"/>
    <xf numFmtId="2" fontId="9" fillId="4" borderId="9" xfId="2" applyNumberFormat="1" applyBorder="1"/>
    <xf numFmtId="2" fontId="9" fillId="4" borderId="10" xfId="2" applyNumberFormat="1" applyBorder="1"/>
    <xf numFmtId="2" fontId="1" fillId="5" borderId="0" xfId="3" applyNumberFormat="1"/>
    <xf numFmtId="2" fontId="1" fillId="6" borderId="15" xfId="4" applyNumberFormat="1" applyBorder="1"/>
    <xf numFmtId="2" fontId="1" fillId="6" borderId="16" xfId="4" applyNumberFormat="1" applyBorder="1"/>
    <xf numFmtId="2" fontId="1" fillId="7" borderId="17" xfId="5" applyNumberFormat="1" applyBorder="1"/>
    <xf numFmtId="2" fontId="1" fillId="7" borderId="12" xfId="5" applyNumberFormat="1" applyBorder="1"/>
    <xf numFmtId="2" fontId="1" fillId="7" borderId="13" xfId="5" applyNumberFormat="1" applyBorder="1"/>
    <xf numFmtId="2" fontId="1" fillId="7" borderId="14" xfId="5" applyNumberFormat="1" applyBorder="1"/>
    <xf numFmtId="0" fontId="9" fillId="8" borderId="7" xfId="6" applyBorder="1"/>
    <xf numFmtId="2" fontId="9" fillId="8" borderId="7" xfId="6" applyNumberFormat="1" applyBorder="1"/>
    <xf numFmtId="2" fontId="9" fillId="8" borderId="7" xfId="6" applyNumberFormat="1" applyBorder="1" applyAlignment="1">
      <alignment horizontal="left"/>
    </xf>
    <xf numFmtId="0" fontId="9" fillId="8" borderId="7" xfId="6" applyBorder="1"/>
    <xf numFmtId="0" fontId="9" fillId="8" borderId="1" xfId="6" applyBorder="1"/>
    <xf numFmtId="0" fontId="9" fillId="8" borderId="4" xfId="6" applyBorder="1"/>
    <xf numFmtId="0" fontId="9" fillId="8" borderId="8" xfId="6" applyBorder="1"/>
    <xf numFmtId="0" fontId="1" fillId="9" borderId="3" xfId="7" applyBorder="1"/>
    <xf numFmtId="0" fontId="1" fillId="9" borderId="6" xfId="7" applyBorder="1"/>
    <xf numFmtId="0" fontId="1" fillId="9" borderId="6" xfId="7" applyBorder="1" applyAlignment="1">
      <alignment horizontal="center"/>
    </xf>
    <xf numFmtId="0" fontId="1" fillId="10" borderId="19" xfId="8" applyBorder="1"/>
    <xf numFmtId="0" fontId="1" fillId="10" borderId="1" xfId="8" applyBorder="1"/>
    <xf numFmtId="0" fontId="1" fillId="10" borderId="2" xfId="8" applyBorder="1"/>
    <xf numFmtId="0" fontId="1" fillId="10" borderId="3" xfId="8" applyBorder="1"/>
    <xf numFmtId="0" fontId="1" fillId="10" borderId="4" xfId="8" applyBorder="1"/>
    <xf numFmtId="0" fontId="1" fillId="10" borderId="7" xfId="8" applyBorder="1"/>
    <xf numFmtId="0" fontId="1" fillId="10" borderId="6" xfId="8" applyBorder="1"/>
    <xf numFmtId="0" fontId="9" fillId="8" borderId="7" xfId="6" applyBorder="1" applyAlignment="1">
      <alignment horizontal="center"/>
    </xf>
    <xf numFmtId="0" fontId="9" fillId="8" borderId="6" xfId="6" applyBorder="1" applyAlignment="1">
      <alignment horizontal="center"/>
    </xf>
    <xf numFmtId="0" fontId="9" fillId="8" borderId="20" xfId="6" applyBorder="1"/>
    <xf numFmtId="0" fontId="9" fillId="8" borderId="19" xfId="6" applyBorder="1"/>
    <xf numFmtId="0" fontId="1" fillId="9" borderId="7" xfId="7" applyBorder="1"/>
    <xf numFmtId="0" fontId="1" fillId="10" borderId="7" xfId="8" applyBorder="1" applyAlignment="1">
      <alignment horizontal="center"/>
    </xf>
    <xf numFmtId="0" fontId="9" fillId="8" borderId="9" xfId="6" applyBorder="1"/>
    <xf numFmtId="0" fontId="9" fillId="8" borderId="10" xfId="6" applyBorder="1"/>
    <xf numFmtId="2" fontId="9" fillId="11" borderId="7" xfId="9" applyNumberFormat="1" applyBorder="1" applyAlignment="1">
      <alignment horizontal="left"/>
    </xf>
    <xf numFmtId="0" fontId="9" fillId="11" borderId="7" xfId="9" applyBorder="1"/>
    <xf numFmtId="0" fontId="9" fillId="11" borderId="12" xfId="9" applyBorder="1"/>
    <xf numFmtId="2" fontId="9" fillId="11" borderId="3" xfId="9" applyNumberFormat="1" applyBorder="1" applyAlignment="1">
      <alignment wrapText="1"/>
    </xf>
    <xf numFmtId="2" fontId="9" fillId="11" borderId="12" xfId="9" applyNumberFormat="1" applyBorder="1" applyAlignment="1">
      <alignment wrapText="1"/>
    </xf>
    <xf numFmtId="2" fontId="9" fillId="11" borderId="1" xfId="9" applyNumberFormat="1" applyBorder="1" applyAlignment="1">
      <alignment horizontal="left" wrapText="1"/>
    </xf>
    <xf numFmtId="0" fontId="9" fillId="11" borderId="12" xfId="9" applyBorder="1" applyAlignment="1">
      <alignment wrapText="1"/>
    </xf>
    <xf numFmtId="2" fontId="9" fillId="11" borderId="1" xfId="9" applyNumberFormat="1" applyBorder="1" applyAlignment="1">
      <alignment wrapText="1"/>
    </xf>
    <xf numFmtId="2" fontId="9" fillId="11" borderId="1" xfId="9" applyNumberFormat="1" applyBorder="1"/>
    <xf numFmtId="2" fontId="9" fillId="11" borderId="2" xfId="9" applyNumberFormat="1" applyBorder="1"/>
    <xf numFmtId="2" fontId="9" fillId="11" borderId="3" xfId="9" applyNumberFormat="1" applyBorder="1"/>
    <xf numFmtId="0" fontId="9" fillId="11" borderId="13" xfId="9" applyBorder="1"/>
    <xf numFmtId="0" fontId="9" fillId="11" borderId="14" xfId="9" applyBorder="1"/>
    <xf numFmtId="0" fontId="9" fillId="11" borderId="19" xfId="9" applyBorder="1"/>
    <xf numFmtId="0" fontId="9" fillId="11" borderId="24" xfId="9" applyBorder="1"/>
    <xf numFmtId="0" fontId="9" fillId="11" borderId="25" xfId="9" applyBorder="1"/>
    <xf numFmtId="0" fontId="9" fillId="11" borderId="8" xfId="9" applyBorder="1"/>
    <xf numFmtId="0" fontId="9" fillId="11" borderId="9" xfId="9" applyBorder="1"/>
    <xf numFmtId="0" fontId="9" fillId="11" borderId="26" xfId="9" applyBorder="1"/>
    <xf numFmtId="0" fontId="1" fillId="12" borderId="6" xfId="10" applyBorder="1"/>
    <xf numFmtId="0" fontId="1" fillId="12" borderId="13" xfId="10" applyBorder="1"/>
    <xf numFmtId="0" fontId="1" fillId="12" borderId="4" xfId="10" applyBorder="1"/>
    <xf numFmtId="0" fontId="1" fillId="12" borderId="21" xfId="10" applyBorder="1"/>
    <xf numFmtId="0" fontId="1" fillId="12" borderId="7" xfId="10" applyBorder="1"/>
    <xf numFmtId="0" fontId="1" fillId="12" borderId="22" xfId="10" applyBorder="1"/>
    <xf numFmtId="0" fontId="1" fillId="12" borderId="23" xfId="10" applyBorder="1"/>
    <xf numFmtId="0" fontId="9" fillId="11" borderId="7" xfId="9" applyBorder="1"/>
    <xf numFmtId="0" fontId="9" fillId="11" borderId="20" xfId="9" applyBorder="1"/>
    <xf numFmtId="0" fontId="9" fillId="11" borderId="31" xfId="9" applyBorder="1"/>
  </cellXfs>
  <cellStyles count="11">
    <cellStyle name="20% - Accent1" xfId="3" builtinId="30"/>
    <cellStyle name="20% - Accent4" xfId="7" builtinId="42"/>
    <cellStyle name="20% - Accent5" xfId="10" builtinId="46"/>
    <cellStyle name="40% - Accent1" xfId="4" builtinId="31"/>
    <cellStyle name="60% - Accent1" xfId="5" builtinId="32"/>
    <cellStyle name="60% - Accent4" xfId="8" builtinId="44"/>
    <cellStyle name="Accent1" xfId="2" builtinId="29"/>
    <cellStyle name="Accent4" xfId="6" builtinId="41"/>
    <cellStyle name="Accent5" xfId="9" builtinId="45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228601</xdr:colOff>
      <xdr:row>38</xdr:row>
      <xdr:rowOff>104775</xdr:rowOff>
    </xdr:from>
    <xdr:to>
      <xdr:col>5</xdr:col>
      <xdr:colOff>28575</xdr:colOff>
      <xdr:row>46</xdr:row>
      <xdr:rowOff>47624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F2D3CE0-20A4-3D8F-23FF-2497361AA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6" y="6334125"/>
          <a:ext cx="1247774" cy="1247774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0</xdr:row>
      <xdr:rowOff>0</xdr:rowOff>
    </xdr:from>
    <xdr:to>
      <xdr:col>5</xdr:col>
      <xdr:colOff>104775</xdr:colOff>
      <xdr:row>4</xdr:row>
      <xdr:rowOff>133350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19CFE31-072C-6C11-C9C9-C13513F25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4475" y="0"/>
          <a:ext cx="790575" cy="790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285750</xdr:colOff>
      <xdr:row>0</xdr:row>
      <xdr:rowOff>0</xdr:rowOff>
    </xdr:from>
    <xdr:to>
      <xdr:col>6</xdr:col>
      <xdr:colOff>323850</xdr:colOff>
      <xdr:row>3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259C829-34E6-4AEA-A142-C0FAC38F7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7650" y="0"/>
          <a:ext cx="647700" cy="647700"/>
        </a:xfrm>
        <a:prstGeom prst="rect">
          <a:avLst/>
        </a:prstGeom>
      </xdr:spPr>
    </xdr:pic>
    <xdr:clientData/>
  </xdr:twoCellAnchor>
  <xdr:twoCellAnchor editAs="oneCell">
    <xdr:from>
      <xdr:col>1</xdr:col>
      <xdr:colOff>628650</xdr:colOff>
      <xdr:row>25</xdr:row>
      <xdr:rowOff>57149</xdr:rowOff>
    </xdr:from>
    <xdr:to>
      <xdr:col>4</xdr:col>
      <xdr:colOff>535413</xdr:colOff>
      <xdr:row>36</xdr:row>
      <xdr:rowOff>87737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76712E-56B3-41B8-DF67-ADBBCFF2F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85950" y="4124324"/>
          <a:ext cx="1811763" cy="18117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723901</xdr:colOff>
      <xdr:row>0</xdr:row>
      <xdr:rowOff>57149</xdr:rowOff>
    </xdr:from>
    <xdr:to>
      <xdr:col>3</xdr:col>
      <xdr:colOff>535414</xdr:colOff>
      <xdr:row>3</xdr:row>
      <xdr:rowOff>116312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4C1B5C1-E828-AED9-9D2C-7A089838C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7426" y="57149"/>
          <a:ext cx="544938" cy="544938"/>
        </a:xfrm>
        <a:prstGeom prst="rect">
          <a:avLst/>
        </a:prstGeom>
      </xdr:spPr>
    </xdr:pic>
    <xdr:clientData/>
  </xdr:twoCellAnchor>
  <xdr:twoCellAnchor editAs="oneCell">
    <xdr:from>
      <xdr:col>8</xdr:col>
      <xdr:colOff>485775</xdr:colOff>
      <xdr:row>27</xdr:row>
      <xdr:rowOff>28575</xdr:rowOff>
    </xdr:from>
    <xdr:to>
      <xdr:col>12</xdr:col>
      <xdr:colOff>40113</xdr:colOff>
      <xdr:row>43</xdr:row>
      <xdr:rowOff>116313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09BE98C-16B2-6F4D-9D1D-96822CE11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96050" y="4924425"/>
          <a:ext cx="2697588" cy="2697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T25" sqref="T25"/>
    </sheetView>
  </sheetViews>
  <sheetFormatPr defaultColWidth="14.42578125" defaultRowHeight="15" customHeight="1" x14ac:dyDescent="0.2"/>
  <cols>
    <col min="1" max="1" width="2.140625" customWidth="1"/>
    <col min="2" max="3" width="9.140625" customWidth="1"/>
    <col min="4" max="4" width="3.42578125" customWidth="1"/>
    <col min="5" max="5" width="9.140625" customWidth="1"/>
    <col min="6" max="6" width="2.85546875" customWidth="1"/>
    <col min="7" max="7" width="10.5703125" customWidth="1"/>
    <col min="8" max="8" width="2.28515625" customWidth="1"/>
    <col min="9" max="9" width="9.140625" customWidth="1"/>
    <col min="10" max="10" width="3.7109375" customWidth="1"/>
    <col min="11" max="11" width="20.42578125" customWidth="1"/>
    <col min="12" max="12" width="10.7109375" customWidth="1"/>
    <col min="13" max="13" width="13" customWidth="1"/>
    <col min="14" max="14" width="9.140625" style="1" customWidth="1"/>
    <col min="15" max="15" width="8" style="1" hidden="1" customWidth="1"/>
    <col min="16" max="26" width="8" style="1" customWidth="1"/>
  </cols>
  <sheetData>
    <row r="1" spans="1:15" ht="13.5" customHeight="1" x14ac:dyDescent="0.2">
      <c r="A1" s="34"/>
      <c r="B1" s="35"/>
      <c r="C1" s="35"/>
      <c r="D1" s="35"/>
      <c r="E1" s="35"/>
      <c r="F1" s="35"/>
      <c r="G1" s="35"/>
      <c r="H1" s="35"/>
      <c r="I1" s="35"/>
      <c r="J1" s="1"/>
      <c r="K1" s="1"/>
      <c r="L1" s="1"/>
      <c r="M1" s="1"/>
    </row>
    <row r="2" spans="1:15" ht="12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2" t="s">
        <v>0</v>
      </c>
      <c r="L2" s="3"/>
      <c r="M2" s="4"/>
    </row>
    <row r="3" spans="1:15" ht="12.75" customHeight="1" x14ac:dyDescent="0.2">
      <c r="A3" s="34"/>
      <c r="B3" s="35"/>
      <c r="C3" s="35"/>
      <c r="D3" s="35"/>
      <c r="E3" s="35"/>
      <c r="F3" s="35"/>
      <c r="G3" s="35"/>
      <c r="H3" s="35"/>
      <c r="I3" s="35"/>
      <c r="J3" s="1"/>
      <c r="K3" s="5" t="s">
        <v>1</v>
      </c>
      <c r="L3" s="6" t="s">
        <v>2</v>
      </c>
      <c r="M3" s="7"/>
      <c r="O3" s="1" t="s">
        <v>3</v>
      </c>
    </row>
    <row r="4" spans="1:15" ht="12.75" customHeight="1" x14ac:dyDescent="0.2">
      <c r="A4" s="36"/>
      <c r="B4" s="35"/>
      <c r="C4" s="35"/>
      <c r="D4" s="35"/>
      <c r="E4" s="35"/>
      <c r="F4" s="35"/>
      <c r="G4" s="35"/>
      <c r="H4" s="35"/>
      <c r="I4" s="35"/>
      <c r="J4" s="1"/>
      <c r="K4" s="5" t="s">
        <v>4</v>
      </c>
      <c r="L4" s="6" t="s">
        <v>5</v>
      </c>
      <c r="M4" s="8"/>
      <c r="O4" s="1" t="s">
        <v>6</v>
      </c>
    </row>
    <row r="5" spans="1:15" ht="12.75" customHeight="1" x14ac:dyDescent="0.2">
      <c r="A5" s="9"/>
      <c r="B5" s="9"/>
      <c r="C5" s="9"/>
      <c r="D5" s="9"/>
      <c r="E5" s="9"/>
      <c r="F5" s="9"/>
      <c r="G5" s="9"/>
      <c r="H5" s="9"/>
      <c r="I5" s="9"/>
      <c r="J5" s="1"/>
      <c r="K5" s="10"/>
      <c r="L5" s="30"/>
      <c r="M5" s="8"/>
    </row>
    <row r="6" spans="1:15" ht="12.75" customHeight="1" x14ac:dyDescent="0.2">
      <c r="A6" s="37" t="s">
        <v>7</v>
      </c>
      <c r="B6" s="38"/>
      <c r="C6" s="38"/>
      <c r="D6" s="38"/>
      <c r="E6" s="38"/>
      <c r="F6" s="38"/>
      <c r="G6" s="38"/>
      <c r="H6" s="38"/>
      <c r="I6" s="38"/>
      <c r="J6" s="30"/>
      <c r="K6" s="10"/>
      <c r="L6" s="30"/>
      <c r="M6" s="8"/>
    </row>
    <row r="7" spans="1:15" ht="12.75" customHeight="1" x14ac:dyDescent="0.2">
      <c r="A7" s="9"/>
      <c r="B7" s="9"/>
      <c r="C7" s="9"/>
      <c r="D7" s="9"/>
      <c r="E7" s="9"/>
      <c r="F7" s="9"/>
      <c r="G7" s="9"/>
      <c r="H7" s="9"/>
      <c r="I7" s="9"/>
      <c r="J7" s="1"/>
      <c r="K7" s="11" t="s">
        <v>8</v>
      </c>
      <c r="L7" s="12"/>
      <c r="M7" s="8" t="s">
        <v>9</v>
      </c>
    </row>
    <row r="8" spans="1:15" ht="12.75" customHeight="1" x14ac:dyDescent="0.2">
      <c r="A8" s="1"/>
      <c r="B8" s="1"/>
      <c r="C8" s="1"/>
      <c r="D8" s="1"/>
      <c r="E8" s="39" t="s">
        <v>10</v>
      </c>
      <c r="F8" s="38"/>
      <c r="G8" s="38"/>
      <c r="H8" s="30"/>
      <c r="I8" s="30" t="s">
        <v>10</v>
      </c>
      <c r="J8" s="30"/>
      <c r="K8" s="10"/>
      <c r="L8" s="30"/>
      <c r="M8" s="8"/>
    </row>
    <row r="9" spans="1:15" ht="13.5" customHeight="1" x14ac:dyDescent="0.2">
      <c r="A9" s="1"/>
      <c r="B9" s="1"/>
      <c r="C9" s="1"/>
      <c r="D9" s="1"/>
      <c r="E9" s="13" t="s">
        <v>11</v>
      </c>
      <c r="F9" s="1"/>
      <c r="G9" s="13" t="s">
        <v>11</v>
      </c>
      <c r="H9" s="1"/>
      <c r="I9" s="13" t="s">
        <v>11</v>
      </c>
      <c r="J9" s="1"/>
      <c r="K9" s="14"/>
      <c r="L9" s="32" t="s">
        <v>12</v>
      </c>
      <c r="M9" s="33"/>
    </row>
    <row r="10" spans="1:15" ht="12.75" customHeight="1" x14ac:dyDescent="0.25">
      <c r="A10" s="1"/>
      <c r="B10" s="51" t="s">
        <v>13</v>
      </c>
      <c r="C10" s="52"/>
      <c r="D10" s="52"/>
      <c r="E10" s="52"/>
      <c r="F10" s="52"/>
      <c r="G10" s="53"/>
      <c r="H10" s="1"/>
      <c r="I10" s="1"/>
      <c r="J10" s="1"/>
      <c r="K10" s="41" t="str">
        <f>B10</f>
        <v>Income</v>
      </c>
      <c r="L10" s="42"/>
      <c r="M10" s="43"/>
    </row>
    <row r="11" spans="1:15" ht="12.75" customHeight="1" x14ac:dyDescent="0.25">
      <c r="A11" s="1"/>
      <c r="B11" s="54"/>
      <c r="C11" s="55"/>
      <c r="D11" s="55"/>
      <c r="E11" s="55"/>
      <c r="F11" s="55"/>
      <c r="G11" s="56"/>
      <c r="H11" s="1"/>
      <c r="I11" s="1"/>
      <c r="J11" s="1"/>
      <c r="K11" s="44"/>
      <c r="L11" s="45"/>
      <c r="M11" s="46"/>
    </row>
    <row r="12" spans="1:15" ht="13.5" customHeight="1" x14ac:dyDescent="0.25">
      <c r="A12" s="1"/>
      <c r="B12" s="57" t="str">
        <f>Income!A5</f>
        <v>Rental income</v>
      </c>
      <c r="C12" s="58"/>
      <c r="D12" s="58"/>
      <c r="E12" s="58"/>
      <c r="F12" s="58"/>
      <c r="G12" s="59">
        <f>Income!B22</f>
        <v>3390</v>
      </c>
      <c r="H12" s="1"/>
      <c r="I12" s="15"/>
      <c r="J12" s="1"/>
      <c r="K12" s="44" t="str">
        <f>B12</f>
        <v>Rental income</v>
      </c>
      <c r="L12" s="45"/>
      <c r="M12" s="46">
        <f>G12*$L$7</f>
        <v>0</v>
      </c>
    </row>
    <row r="13" spans="1:15" ht="12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44"/>
      <c r="L13" s="45"/>
      <c r="M13" s="46"/>
    </row>
    <row r="14" spans="1:15" ht="13.5" customHeight="1" x14ac:dyDescent="0.25">
      <c r="A14" s="1"/>
      <c r="B14" s="70"/>
      <c r="C14" s="70"/>
      <c r="D14" s="70"/>
      <c r="E14" s="70"/>
      <c r="F14" s="1"/>
      <c r="G14" s="1"/>
      <c r="H14" s="1"/>
      <c r="I14" s="1"/>
      <c r="J14" s="1"/>
      <c r="K14" s="44"/>
      <c r="L14" s="45"/>
      <c r="M14" s="46"/>
    </row>
    <row r="15" spans="1:15" ht="12.75" customHeight="1" x14ac:dyDescent="0.25">
      <c r="A15" s="1"/>
      <c r="B15" s="60" t="s">
        <v>14</v>
      </c>
      <c r="C15" s="61"/>
      <c r="D15" s="61"/>
      <c r="E15" s="62"/>
      <c r="F15" s="1"/>
      <c r="G15" s="1"/>
      <c r="H15" s="1"/>
      <c r="I15" s="1"/>
      <c r="J15" s="1"/>
      <c r="K15" s="44" t="str">
        <f>B15</f>
        <v>Expenses</v>
      </c>
      <c r="L15" s="45"/>
      <c r="M15" s="46"/>
    </row>
    <row r="16" spans="1:15" ht="12.75" customHeight="1" x14ac:dyDescent="0.25">
      <c r="A16" s="1"/>
      <c r="B16" s="63"/>
      <c r="C16" s="64"/>
      <c r="D16" s="64"/>
      <c r="E16" s="65"/>
      <c r="F16" s="1"/>
      <c r="G16" s="1"/>
      <c r="H16" s="1"/>
      <c r="I16" s="1"/>
      <c r="J16" s="1"/>
      <c r="K16" s="44"/>
      <c r="L16" s="45"/>
      <c r="M16" s="46"/>
    </row>
    <row r="17" spans="1:13" ht="12.75" customHeight="1" x14ac:dyDescent="0.25">
      <c r="A17" s="1"/>
      <c r="B17" s="63" t="str">
        <f>Expenses!B5</f>
        <v>Water rates</v>
      </c>
      <c r="C17" s="64"/>
      <c r="D17" s="64"/>
      <c r="E17" s="65">
        <f>Expenses!B18</f>
        <v>0</v>
      </c>
      <c r="F17" s="1"/>
      <c r="G17" s="1"/>
      <c r="H17" s="1"/>
      <c r="I17" s="15"/>
      <c r="J17" s="1"/>
      <c r="K17" s="44" t="str">
        <f t="shared" ref="K17:K31" si="0">B17</f>
        <v>Water rates</v>
      </c>
      <c r="L17" s="45">
        <f t="shared" ref="L17:L30" si="1">E17*$L$7</f>
        <v>0</v>
      </c>
      <c r="M17" s="46"/>
    </row>
    <row r="18" spans="1:13" ht="12.75" customHeight="1" x14ac:dyDescent="0.25">
      <c r="A18" s="1"/>
      <c r="B18" s="63" t="str">
        <f>Expenses!C5</f>
        <v>Council tax rates</v>
      </c>
      <c r="C18" s="64"/>
      <c r="D18" s="64"/>
      <c r="E18" s="65">
        <f>Expenses!C18</f>
        <v>0</v>
      </c>
      <c r="F18" s="1"/>
      <c r="G18" s="1"/>
      <c r="H18" s="1"/>
      <c r="I18" s="15"/>
      <c r="J18" s="1"/>
      <c r="K18" s="44" t="str">
        <f t="shared" si="0"/>
        <v>Council tax rates</v>
      </c>
      <c r="L18" s="45">
        <f t="shared" si="1"/>
        <v>0</v>
      </c>
      <c r="M18" s="46"/>
    </row>
    <row r="19" spans="1:13" ht="12.75" customHeight="1" x14ac:dyDescent="0.25">
      <c r="A19" s="1"/>
      <c r="B19" s="63" t="str">
        <f>Expenses!D5</f>
        <v>Gas saftey</v>
      </c>
      <c r="C19" s="64"/>
      <c r="D19" s="64"/>
      <c r="E19" s="65">
        <f>Expenses!D18</f>
        <v>70</v>
      </c>
      <c r="F19" s="1"/>
      <c r="G19" s="1"/>
      <c r="H19" s="1"/>
      <c r="I19" s="15"/>
      <c r="J19" s="1"/>
      <c r="K19" s="44" t="str">
        <f t="shared" si="0"/>
        <v>Gas saftey</v>
      </c>
      <c r="L19" s="45">
        <f t="shared" si="1"/>
        <v>0</v>
      </c>
      <c r="M19" s="46"/>
    </row>
    <row r="20" spans="1:13" ht="12.75" customHeight="1" x14ac:dyDescent="0.25">
      <c r="A20" s="1"/>
      <c r="B20" s="63" t="str">
        <f>Expenses!E5</f>
        <v>Electricity</v>
      </c>
      <c r="C20" s="64"/>
      <c r="D20" s="64"/>
      <c r="E20" s="65">
        <f>Expenses!E18</f>
        <v>0</v>
      </c>
      <c r="F20" s="1"/>
      <c r="G20" s="1"/>
      <c r="H20" s="1"/>
      <c r="I20" s="15"/>
      <c r="J20" s="1"/>
      <c r="K20" s="44" t="str">
        <f t="shared" si="0"/>
        <v>Electricity</v>
      </c>
      <c r="L20" s="45">
        <f t="shared" si="1"/>
        <v>0</v>
      </c>
      <c r="M20" s="46"/>
    </row>
    <row r="21" spans="1:13" ht="12.75" customHeight="1" x14ac:dyDescent="0.25">
      <c r="A21" s="1"/>
      <c r="B21" s="63" t="str">
        <f>Expenses!F5</f>
        <v>Repairs &amp; renewals</v>
      </c>
      <c r="C21" s="64"/>
      <c r="D21" s="64"/>
      <c r="E21" s="65">
        <f>Expenses!F18</f>
        <v>1246.8399999999999</v>
      </c>
      <c r="F21" s="1"/>
      <c r="G21" s="1"/>
      <c r="H21" s="1"/>
      <c r="I21" s="15"/>
      <c r="J21" s="1"/>
      <c r="K21" s="44" t="str">
        <f t="shared" si="0"/>
        <v>Repairs &amp; renewals</v>
      </c>
      <c r="L21" s="45">
        <f t="shared" si="1"/>
        <v>0</v>
      </c>
      <c r="M21" s="46"/>
    </row>
    <row r="22" spans="1:13" ht="12.75" customHeight="1" x14ac:dyDescent="0.25">
      <c r="A22" s="1"/>
      <c r="B22" s="63" t="str">
        <f>Expenses!G5</f>
        <v>Cleaning</v>
      </c>
      <c r="C22" s="64"/>
      <c r="D22" s="64"/>
      <c r="E22" s="65">
        <f>Expenses!G18</f>
        <v>200</v>
      </c>
      <c r="F22" s="1"/>
      <c r="G22" s="1"/>
      <c r="H22" s="1"/>
      <c r="I22" s="15"/>
      <c r="J22" s="1"/>
      <c r="K22" s="44" t="str">
        <f t="shared" si="0"/>
        <v>Cleaning</v>
      </c>
      <c r="L22" s="45">
        <f t="shared" si="1"/>
        <v>0</v>
      </c>
      <c r="M22" s="46"/>
    </row>
    <row r="23" spans="1:13" ht="12.75" customHeight="1" x14ac:dyDescent="0.25">
      <c r="A23" s="1"/>
      <c r="B23" s="63" t="str">
        <f>Expenses!H5</f>
        <v>SOLICITOR COST Mortgage DEALINGS</v>
      </c>
      <c r="C23" s="64"/>
      <c r="D23" s="64"/>
      <c r="E23" s="65">
        <f>Expenses!H18</f>
        <v>393.36</v>
      </c>
      <c r="F23" s="1"/>
      <c r="G23" s="1"/>
      <c r="H23" s="1"/>
      <c r="I23" s="15"/>
      <c r="J23" s="1"/>
      <c r="K23" s="44" t="str">
        <f t="shared" si="0"/>
        <v>SOLICITOR COST Mortgage DEALINGS</v>
      </c>
      <c r="L23" s="45">
        <f t="shared" si="1"/>
        <v>0</v>
      </c>
      <c r="M23" s="46"/>
    </row>
    <row r="24" spans="1:13" ht="12.75" customHeight="1" x14ac:dyDescent="0.25">
      <c r="A24" s="1"/>
      <c r="B24" s="63" t="str">
        <f>Expenses!I5</f>
        <v>Letting fees</v>
      </c>
      <c r="C24" s="64"/>
      <c r="D24" s="64"/>
      <c r="E24" s="65">
        <f>Expenses!I18</f>
        <v>0</v>
      </c>
      <c r="F24" s="1"/>
      <c r="G24" s="1"/>
      <c r="H24" s="1"/>
      <c r="I24" s="15"/>
      <c r="J24" s="1"/>
      <c r="K24" s="44" t="str">
        <f t="shared" si="0"/>
        <v>Letting fees</v>
      </c>
      <c r="L24" s="45">
        <f t="shared" si="1"/>
        <v>0</v>
      </c>
      <c r="M24" s="46"/>
    </row>
    <row r="25" spans="1:13" ht="12.75" customHeight="1" x14ac:dyDescent="0.25">
      <c r="A25" s="1"/>
      <c r="B25" s="63" t="str">
        <f>Expenses!J5</f>
        <v>Management fee</v>
      </c>
      <c r="C25" s="64"/>
      <c r="D25" s="64"/>
      <c r="E25" s="65">
        <f>Expenses!J18</f>
        <v>880.06999999999994</v>
      </c>
      <c r="F25" s="1"/>
      <c r="G25" s="1"/>
      <c r="H25" s="1"/>
      <c r="I25" s="15"/>
      <c r="J25" s="1"/>
      <c r="K25" s="44" t="str">
        <f t="shared" si="0"/>
        <v>Management fee</v>
      </c>
      <c r="L25" s="45">
        <f t="shared" si="1"/>
        <v>0</v>
      </c>
      <c r="M25" s="46"/>
    </row>
    <row r="26" spans="1:13" ht="12.75" customHeight="1" x14ac:dyDescent="0.25">
      <c r="A26" s="1"/>
      <c r="B26" s="63" t="str">
        <f>Expenses!K5</f>
        <v>Insurance</v>
      </c>
      <c r="C26" s="64"/>
      <c r="D26" s="64"/>
      <c r="E26" s="65">
        <f>Expenses!K18</f>
        <v>176.23</v>
      </c>
      <c r="F26" s="1"/>
      <c r="G26" s="1"/>
      <c r="H26" s="1"/>
      <c r="I26" s="15"/>
      <c r="J26" s="1"/>
      <c r="K26" s="44" t="str">
        <f t="shared" si="0"/>
        <v>Insurance</v>
      </c>
      <c r="L26" s="45">
        <f t="shared" si="1"/>
        <v>0</v>
      </c>
      <c r="M26" s="46"/>
    </row>
    <row r="27" spans="1:13" ht="12.75" customHeight="1" x14ac:dyDescent="0.25">
      <c r="A27" s="1"/>
      <c r="B27" s="63" t="str">
        <f>Expenses!L5</f>
        <v>Post &amp; stationery</v>
      </c>
      <c r="C27" s="64"/>
      <c r="D27" s="64"/>
      <c r="E27" s="65">
        <f>Expenses!L18</f>
        <v>100</v>
      </c>
      <c r="F27" s="1"/>
      <c r="G27" s="1"/>
      <c r="H27" s="1"/>
      <c r="I27" s="15"/>
      <c r="J27" s="1"/>
      <c r="K27" s="44" t="str">
        <f t="shared" si="0"/>
        <v>Post &amp; stationery</v>
      </c>
      <c r="L27" s="45">
        <f t="shared" si="1"/>
        <v>0</v>
      </c>
      <c r="M27" s="46"/>
    </row>
    <row r="28" spans="1:13" ht="12.75" customHeight="1" x14ac:dyDescent="0.25">
      <c r="A28" s="1"/>
      <c r="B28" s="63" t="str">
        <f>Expenses!M5</f>
        <v>Advertising</v>
      </c>
      <c r="C28" s="64"/>
      <c r="D28" s="64"/>
      <c r="E28" s="65">
        <f>Expenses!M18</f>
        <v>0</v>
      </c>
      <c r="F28" s="1"/>
      <c r="G28" s="1"/>
      <c r="H28" s="1"/>
      <c r="I28" s="15"/>
      <c r="J28" s="1"/>
      <c r="K28" s="44" t="str">
        <f t="shared" si="0"/>
        <v>Advertising</v>
      </c>
      <c r="L28" s="45">
        <f t="shared" si="1"/>
        <v>0</v>
      </c>
      <c r="M28" s="46"/>
    </row>
    <row r="29" spans="1:13" ht="12.75" customHeight="1" x14ac:dyDescent="0.25">
      <c r="A29" s="1"/>
      <c r="B29" s="63" t="str">
        <f>Expenses!N5</f>
        <v>Mortgage interest</v>
      </c>
      <c r="C29" s="64"/>
      <c r="D29" s="64"/>
      <c r="E29" s="65">
        <f>Expenses!N18</f>
        <v>3129.8400000000006</v>
      </c>
      <c r="F29" s="1"/>
      <c r="G29" s="1"/>
      <c r="H29" s="1"/>
      <c r="I29" s="15"/>
      <c r="J29" s="1"/>
      <c r="K29" s="44" t="str">
        <f t="shared" si="0"/>
        <v>Mortgage interest</v>
      </c>
      <c r="L29" s="45">
        <f t="shared" si="1"/>
        <v>0</v>
      </c>
      <c r="M29" s="46"/>
    </row>
    <row r="30" spans="1:13" ht="12.75" customHeight="1" x14ac:dyDescent="0.25">
      <c r="A30" s="1"/>
      <c r="B30" s="63" t="str">
        <f>Expenses!O5</f>
        <v>Accountancy costs</v>
      </c>
      <c r="C30" s="64"/>
      <c r="D30" s="64"/>
      <c r="E30" s="65">
        <f>Expenses!O18</f>
        <v>0</v>
      </c>
      <c r="F30" s="1"/>
      <c r="G30" s="1"/>
      <c r="H30" s="1"/>
      <c r="I30" s="15"/>
      <c r="J30" s="1"/>
      <c r="K30" s="44" t="str">
        <f t="shared" si="0"/>
        <v>Accountancy costs</v>
      </c>
      <c r="L30" s="45">
        <f t="shared" si="1"/>
        <v>0</v>
      </c>
      <c r="M30" s="46"/>
    </row>
    <row r="31" spans="1:13" ht="12.75" customHeight="1" x14ac:dyDescent="0.25">
      <c r="A31" s="1"/>
      <c r="B31" s="63" t="str">
        <f>IF(L4=O3,"Wear &amp; Tear Allowance","")</f>
        <v>Wear &amp; Tear Allowance</v>
      </c>
      <c r="C31" s="64"/>
      <c r="D31" s="64"/>
      <c r="E31" s="65">
        <f>IF(L4=O3,IF((G12-E17-E18)*10%&gt;0,(G12-E17-E18)*10%,0),"")</f>
        <v>339</v>
      </c>
      <c r="F31" s="1"/>
      <c r="G31" s="1"/>
      <c r="H31" s="1"/>
      <c r="I31" s="15"/>
      <c r="J31" s="1"/>
      <c r="K31" s="44" t="str">
        <f t="shared" si="0"/>
        <v>Wear &amp; Tear Allowance</v>
      </c>
      <c r="L31" s="45">
        <f>IF(L4=O3,E31*$L$7,"")</f>
        <v>0</v>
      </c>
      <c r="M31" s="46"/>
    </row>
    <row r="32" spans="1:13" ht="12.75" customHeight="1" x14ac:dyDescent="0.25">
      <c r="A32" s="1"/>
      <c r="B32" s="63"/>
      <c r="C32" s="64"/>
      <c r="D32" s="64"/>
      <c r="E32" s="65"/>
      <c r="F32" s="1"/>
      <c r="G32" s="1"/>
      <c r="H32" s="1"/>
      <c r="I32" s="1"/>
      <c r="J32" s="1"/>
      <c r="K32" s="44"/>
      <c r="L32" s="45"/>
      <c r="M32" s="46"/>
    </row>
    <row r="33" spans="1:13" ht="12.75" customHeight="1" x14ac:dyDescent="0.25">
      <c r="A33" s="1"/>
      <c r="B33" s="63"/>
      <c r="C33" s="64"/>
      <c r="D33" s="64"/>
      <c r="E33" s="65"/>
      <c r="F33" s="1"/>
      <c r="G33" s="1"/>
      <c r="H33" s="1"/>
      <c r="I33" s="1"/>
      <c r="J33" s="1"/>
      <c r="K33" s="44"/>
      <c r="L33" s="45"/>
      <c r="M33" s="46"/>
    </row>
    <row r="34" spans="1:13" ht="13.5" customHeight="1" x14ac:dyDescent="0.25">
      <c r="A34" s="1"/>
      <c r="B34" s="63"/>
      <c r="C34" s="64"/>
      <c r="D34" s="64"/>
      <c r="E34" s="66"/>
      <c r="F34" s="1"/>
      <c r="G34" s="1"/>
      <c r="H34" s="1"/>
      <c r="I34" s="1"/>
      <c r="J34" s="1"/>
      <c r="K34" s="44"/>
      <c r="L34" s="50"/>
      <c r="M34" s="46"/>
    </row>
    <row r="35" spans="1:13" ht="13.5" customHeight="1" thickBot="1" x14ac:dyDescent="0.3">
      <c r="A35" s="16"/>
      <c r="B35" s="67"/>
      <c r="C35" s="68"/>
      <c r="D35" s="68"/>
      <c r="E35" s="69">
        <f>SUM(E17:E30)</f>
        <v>6196.34</v>
      </c>
      <c r="F35" s="1"/>
      <c r="G35" s="1"/>
      <c r="H35" s="1"/>
      <c r="I35" s="74">
        <f>SUM(I17:I30)</f>
        <v>0</v>
      </c>
      <c r="J35" s="1"/>
      <c r="K35" s="44"/>
      <c r="L35" s="45">
        <f>E35*$L$7</f>
        <v>0</v>
      </c>
      <c r="M35" s="46"/>
    </row>
    <row r="36" spans="1:13" ht="12.75" customHeight="1" x14ac:dyDescent="0.25">
      <c r="A36" s="1"/>
      <c r="B36" s="1"/>
      <c r="C36" s="1"/>
      <c r="D36" s="1"/>
      <c r="E36" s="16"/>
      <c r="F36" s="1"/>
      <c r="G36" s="1"/>
      <c r="H36" s="1"/>
      <c r="I36" s="75"/>
      <c r="J36" s="1"/>
      <c r="K36" s="44"/>
      <c r="L36" s="45"/>
      <c r="M36" s="46"/>
    </row>
    <row r="37" spans="1:13" ht="13.5" customHeight="1" thickBot="1" x14ac:dyDescent="0.3">
      <c r="A37" s="1"/>
      <c r="B37" s="1"/>
      <c r="C37" s="1"/>
      <c r="D37" s="1"/>
      <c r="E37" s="16"/>
      <c r="F37" s="1"/>
      <c r="G37" s="1"/>
      <c r="H37" s="1"/>
      <c r="I37" s="76"/>
      <c r="J37" s="1"/>
      <c r="K37" s="44"/>
      <c r="L37" s="50"/>
      <c r="M37" s="46"/>
    </row>
    <row r="38" spans="1:13" ht="13.5" customHeight="1" thickBot="1" x14ac:dyDescent="0.3">
      <c r="A38" s="1"/>
      <c r="B38" s="71" t="s">
        <v>15</v>
      </c>
      <c r="C38" s="72"/>
      <c r="D38" s="72"/>
      <c r="E38" s="72"/>
      <c r="F38" s="72"/>
      <c r="G38" s="72">
        <f>G12-E35</f>
        <v>-2806.34</v>
      </c>
      <c r="H38" s="72"/>
      <c r="I38" s="73">
        <f>I12-I35</f>
        <v>0</v>
      </c>
      <c r="J38" s="1"/>
      <c r="K38" s="44"/>
      <c r="L38" s="45">
        <f>G38*L7</f>
        <v>0</v>
      </c>
      <c r="M38" s="46"/>
    </row>
    <row r="39" spans="1:13" ht="13.5" customHeight="1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47"/>
      <c r="L39" s="48"/>
      <c r="M39" s="49"/>
    </row>
    <row r="40" spans="1:13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2.75" customHeight="1" x14ac:dyDescent="0.2">
      <c r="A48" s="1"/>
      <c r="B48" s="1"/>
      <c r="C48" s="1" t="s">
        <v>16</v>
      </c>
      <c r="D48" s="1"/>
      <c r="E48" s="1" t="s">
        <v>62</v>
      </c>
      <c r="F48" s="1"/>
      <c r="G48" s="1"/>
      <c r="H48" s="1"/>
      <c r="I48" s="1"/>
      <c r="J48" s="1"/>
      <c r="K48" s="1"/>
      <c r="L48" s="1"/>
      <c r="M48" s="1"/>
    </row>
    <row r="49" spans="1:13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1:13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1:13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1:13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1:13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1:13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1:13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1:13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1:13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1:13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1:13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13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1:13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1:13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1:13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1:13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1:13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1:13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1:13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1:13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1:13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1:13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1:13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1:13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1:13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1:13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13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1:13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1:13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1:13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1:13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1:13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1:13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1:13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1:13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1:13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1:13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1:13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1:13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1:13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1:13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1:13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1:13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1:13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1:13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1:13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1:13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1:13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1:13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1:13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1:13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1:13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1:13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1:13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1:13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1:13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1:13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1:13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1:13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1:13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1:13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1:13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1:13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1:13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1:13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1:13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1:13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1:13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1:13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1:13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1:13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1:13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1:13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1:13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1:13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1:13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1:13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1:13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1:13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1:13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1:13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1:13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1:13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1:13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1:13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1:13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1:13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1:13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1:13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1:13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1:13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1:13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1:13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1:13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spans="1:13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1:13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1:13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1:13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1:13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1:13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1:13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1:13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1:13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1:13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1:13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1:13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1:13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1:13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1:13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1:13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1:13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1:13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1:13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1:13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1:13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1:13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1:13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1:13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1:13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1:13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1:13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1:13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1:13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1:13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1:13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1:13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1:13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1:13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1:13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1:13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1:13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1:13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1:13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1:13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1:13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1:13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1:13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1:13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1:13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1:13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1:13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1:13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1:13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1:13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1:13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1:13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1:13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1:13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1:13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1:13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1:13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1:13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1:13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1:13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1:13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1:13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1:13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1:13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1:13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13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1:13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1:13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1:13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1:13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1:13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1:13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1:13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1:13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1:13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1:13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1:13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1:13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1:13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1:13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1:13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1:13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1:13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1:13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1:13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1:13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1:13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1:13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1:13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1:13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1:13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1:13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1:13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1:13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1:13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1:13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1:13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1:13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1:13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1:13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1:13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1:13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1:13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1:13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1:13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1:13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1:13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1:13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1:13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1:13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1:13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1:13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1:13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1:13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1:13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1:13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1:13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1:13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1:13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1:13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1:13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1:13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1:13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1:13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1:13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1:13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1:13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1:13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1:13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1:13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1:13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1:13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1:13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1:13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1:13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1:13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1:13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1:13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1:13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1:13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1:13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1:13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1:13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1:13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1:13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1:13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1:13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1:13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1:13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1:13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1:13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1:13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1:13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1:13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1:13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1:13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1:13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1:13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1:13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1:13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1:13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1:13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1:13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1:13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1:13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1:13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1:13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1:13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1:13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1:13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1:13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1:13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1:13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1:13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1:13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1:13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1:13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1:13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1:13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1:13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1:13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1:13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1:13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1:13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1:13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1:13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1:13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1:13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1:13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1:13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1:13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1:13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1:13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1:13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1:13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1:13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1:13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1:13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1:13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1:13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1:13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1:13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1:13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1:13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1:13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1:13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1:13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1:13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1:13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1:13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1:13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1:13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1:13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1:13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1:13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1:13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1:13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1:13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1:13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1:13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1:13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1:13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1:13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1:13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1:13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1:13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1:13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1:13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1:13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1:13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1:13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1:13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1:13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1:13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1:13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1:13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1:13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1:13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1:13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1:13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1:13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1:13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1:13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1:13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1:13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1:13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1:13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1:13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1:13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1:13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1:13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1:13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1:13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1:13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1:13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1:13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1:13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1:13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1:13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1:13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1:13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1:13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1:13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1:13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1:13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1:13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1:13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1:13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1:13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1:13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1:13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1:13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1:13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1:13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1:13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1:13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1:13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1:13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1:13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1:13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1:13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1:13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1:13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1:13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1:13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1:13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1:13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1:13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1:13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1:13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1:13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1:13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1:13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1:13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1:13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1:13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1:13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1:13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1:13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1:13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1:13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1:13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1:13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1:13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1:13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1:13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1:13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1:13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1:13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1:13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1:13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1:13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1:13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1:13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1:13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1:13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1:13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1:13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1:13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1:13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1:13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1:13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1:13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1:13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1:13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1:13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1:13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1:13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1:13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1:13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1:13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1:13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1:13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1:13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1:13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1:13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1:13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1:13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1:13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1:13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1:13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1:13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1:13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1:13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1:13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1:13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1:13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1:13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1:13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1:13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1:13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1:13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1:13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1:13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1:13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1:13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1:13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1:13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1:13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1:13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1:13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1:13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1:13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1:13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1:13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1:13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1:13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1:13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1:13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1:13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1:13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1:13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1:13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1:13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spans="1:13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spans="1:13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1:13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1:13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spans="1:13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1:13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spans="1:13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1:13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spans="1:13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spans="1:13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1:13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spans="1:13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1:13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1:13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spans="1:13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1:13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1:13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spans="1:13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1:13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spans="1:13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spans="1:13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spans="1:13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spans="1:13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spans="1:13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spans="1:13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spans="1:13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spans="1:13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spans="1:13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spans="1:13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spans="1:13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spans="1:13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spans="1:13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spans="1:13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spans="1:13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spans="1:13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spans="1:13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spans="1:13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spans="1:13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spans="1:13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spans="1:13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spans="1:13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spans="1:13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1:13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spans="1:13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1:13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spans="1:13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1:13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spans="1:13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1:13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spans="1:13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spans="1:13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spans="1:13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spans="1:13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spans="1:13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1:13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spans="1:13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spans="1:13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spans="1:13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1:13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spans="1:13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spans="1:13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spans="1:13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1:13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spans="1:13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spans="1:13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spans="1:13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spans="1:13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spans="1:13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spans="1:13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1:13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spans="1:13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spans="1:13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spans="1:13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spans="1:13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spans="1:13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spans="1:13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spans="1:13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spans="1:13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spans="1:13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spans="1:13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spans="1:13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spans="1:13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spans="1:13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spans="1:13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spans="1:13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spans="1:13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spans="1:13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spans="1:13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spans="1:13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spans="1:13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spans="1:13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spans="1:13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1:13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spans="1:13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1:13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spans="1:13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spans="1:13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spans="1:13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spans="1:13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spans="1:13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spans="1:13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spans="1:13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spans="1:13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spans="1:13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spans="1:13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spans="1:13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spans="1:13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spans="1:13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spans="1:13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spans="1:13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spans="1:13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spans="1:13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spans="1:13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spans="1:13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spans="1:13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spans="1:13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spans="1:13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spans="1:13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spans="1:13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spans="1:13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spans="1:13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spans="1:13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1:13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spans="1:13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spans="1:13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spans="1:13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spans="1:13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spans="1:13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spans="1:13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spans="1:13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spans="1:13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mergeCells count="6">
    <mergeCell ref="L9:M9"/>
    <mergeCell ref="A1:I1"/>
    <mergeCell ref="A3:I3"/>
    <mergeCell ref="A4:I4"/>
    <mergeCell ref="A6:I6"/>
    <mergeCell ref="E8:G8"/>
  </mergeCells>
  <dataValidations count="1">
    <dataValidation type="list" allowBlank="1" showInputMessage="1" showErrorMessage="1" prompt=" - " sqref="L3:L4" xr:uid="{00000000-0002-0000-0000-000000000000}">
      <formula1>$O$3:$O$4</formula1>
    </dataValidation>
  </dataValidations>
  <pageMargins left="0.7" right="0.7" top="0.75" bottom="0.75" header="0" footer="0"/>
  <pageSetup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J34" sqref="J34"/>
    </sheetView>
  </sheetViews>
  <sheetFormatPr defaultColWidth="14.42578125" defaultRowHeight="15" customHeight="1" x14ac:dyDescent="0.2"/>
  <cols>
    <col min="1" max="1" width="18.85546875" customWidth="1"/>
    <col min="2" max="2" width="10.42578125" customWidth="1"/>
    <col min="3" max="3" width="9" customWidth="1"/>
    <col min="4" max="12" width="9.140625" customWidth="1"/>
    <col min="13" max="26" width="8" style="17" customWidth="1"/>
  </cols>
  <sheetData>
    <row r="1" spans="1:12" ht="12.75" customHeight="1" x14ac:dyDescent="0.25">
      <c r="A1" s="77" t="s">
        <v>13</v>
      </c>
      <c r="B1" s="78"/>
      <c r="C1" s="77"/>
      <c r="D1" s="17"/>
      <c r="E1" s="17"/>
      <c r="F1" s="17"/>
      <c r="G1" s="17"/>
      <c r="H1" s="17"/>
      <c r="I1" s="17"/>
      <c r="J1" s="17"/>
      <c r="K1" s="17"/>
      <c r="L1" s="17"/>
    </row>
    <row r="2" spans="1:12" ht="12.75" customHeight="1" x14ac:dyDescent="0.25">
      <c r="A2" s="79">
        <f>'Summary '!$A$3</f>
        <v>0</v>
      </c>
      <c r="B2" s="80"/>
      <c r="C2" s="80"/>
      <c r="D2" s="40"/>
      <c r="E2" s="35"/>
      <c r="F2" s="17"/>
      <c r="G2" s="17"/>
      <c r="H2" s="17"/>
      <c r="I2" s="17"/>
      <c r="J2" s="17"/>
      <c r="K2" s="17"/>
      <c r="L2" s="17"/>
    </row>
    <row r="3" spans="1:12" ht="12.75" customHeight="1" x14ac:dyDescent="0.2">
      <c r="A3" s="1"/>
      <c r="B3" s="1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 ht="13.5" customHeight="1" x14ac:dyDescent="0.2">
      <c r="A4" s="1"/>
      <c r="B4" s="1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spans="1:12" ht="12.75" customHeight="1" x14ac:dyDescent="0.25">
      <c r="A5" s="81" t="s">
        <v>17</v>
      </c>
      <c r="B5" s="84"/>
      <c r="C5" s="18"/>
      <c r="D5" s="17"/>
      <c r="E5" s="88" t="s">
        <v>18</v>
      </c>
      <c r="F5" s="89"/>
      <c r="G5" s="89"/>
      <c r="H5" s="90"/>
      <c r="I5" s="17"/>
      <c r="J5" s="88" t="s">
        <v>19</v>
      </c>
      <c r="K5" s="89"/>
      <c r="L5" s="90"/>
    </row>
    <row r="6" spans="1:12" ht="12.75" customHeight="1" x14ac:dyDescent="0.25">
      <c r="A6" s="82"/>
      <c r="B6" s="85"/>
      <c r="C6" s="18"/>
      <c r="D6" s="17"/>
      <c r="E6" s="91" t="s">
        <v>20</v>
      </c>
      <c r="F6" s="92"/>
      <c r="G6" s="92"/>
      <c r="H6" s="93"/>
      <c r="I6" s="17"/>
      <c r="J6" s="91"/>
      <c r="K6" s="92"/>
      <c r="L6" s="93"/>
    </row>
    <row r="7" spans="1:12" ht="12.75" customHeight="1" x14ac:dyDescent="0.25">
      <c r="A7" s="82"/>
      <c r="B7" s="85"/>
      <c r="C7" s="18"/>
      <c r="D7" s="17"/>
      <c r="E7" s="91" t="s">
        <v>21</v>
      </c>
      <c r="F7" s="92"/>
      <c r="G7" s="92"/>
      <c r="H7" s="93"/>
      <c r="I7" s="17"/>
      <c r="J7" s="91"/>
      <c r="K7" s="92"/>
      <c r="L7" s="93"/>
    </row>
    <row r="8" spans="1:12" ht="12.75" customHeight="1" x14ac:dyDescent="0.25">
      <c r="A8" s="82"/>
      <c r="B8" s="86" t="s">
        <v>11</v>
      </c>
      <c r="C8" s="18"/>
      <c r="D8" s="17"/>
      <c r="E8" s="82"/>
      <c r="F8" s="94" t="s">
        <v>22</v>
      </c>
      <c r="G8" s="94" t="s">
        <v>23</v>
      </c>
      <c r="H8" s="95" t="s">
        <v>24</v>
      </c>
      <c r="I8" s="17"/>
      <c r="J8" s="91"/>
      <c r="K8" s="99" t="s">
        <v>11</v>
      </c>
      <c r="L8" s="93"/>
    </row>
    <row r="9" spans="1:12" ht="12.75" customHeight="1" x14ac:dyDescent="0.25">
      <c r="A9" s="82" t="s">
        <v>25</v>
      </c>
      <c r="B9" s="85"/>
      <c r="C9" s="18"/>
      <c r="D9" s="17"/>
      <c r="E9" s="82" t="s">
        <v>25</v>
      </c>
      <c r="F9" s="98"/>
      <c r="G9" s="98"/>
      <c r="H9" s="85"/>
      <c r="I9" s="17"/>
      <c r="J9" s="82" t="s">
        <v>25</v>
      </c>
      <c r="K9" s="98"/>
      <c r="L9" s="85"/>
    </row>
    <row r="10" spans="1:12" ht="12.75" customHeight="1" x14ac:dyDescent="0.25">
      <c r="A10" s="82" t="s">
        <v>26</v>
      </c>
      <c r="B10" s="85"/>
      <c r="C10" s="18"/>
      <c r="D10" s="17"/>
      <c r="E10" s="82" t="s">
        <v>26</v>
      </c>
      <c r="F10" s="98"/>
      <c r="G10" s="98"/>
      <c r="H10" s="85"/>
      <c r="I10" s="17"/>
      <c r="J10" s="82" t="s">
        <v>26</v>
      </c>
      <c r="K10" s="98"/>
      <c r="L10" s="85"/>
    </row>
    <row r="11" spans="1:12" ht="12.75" customHeight="1" x14ac:dyDescent="0.25">
      <c r="A11" s="82" t="s">
        <v>27</v>
      </c>
      <c r="B11" s="85"/>
      <c r="C11" s="18"/>
      <c r="D11" s="17"/>
      <c r="E11" s="82" t="s">
        <v>27</v>
      </c>
      <c r="F11" s="98"/>
      <c r="G11" s="98"/>
      <c r="H11" s="85"/>
      <c r="I11" s="17"/>
      <c r="J11" s="82" t="s">
        <v>27</v>
      </c>
      <c r="K11" s="98"/>
      <c r="L11" s="85"/>
    </row>
    <row r="12" spans="1:12" ht="12.75" customHeight="1" x14ac:dyDescent="0.25">
      <c r="A12" s="82" t="s">
        <v>28</v>
      </c>
      <c r="B12" s="85"/>
      <c r="C12" s="18"/>
      <c r="D12" s="17"/>
      <c r="E12" s="82" t="s">
        <v>28</v>
      </c>
      <c r="F12" s="98"/>
      <c r="G12" s="98"/>
      <c r="H12" s="85"/>
      <c r="I12" s="17"/>
      <c r="J12" s="82" t="s">
        <v>28</v>
      </c>
      <c r="K12" s="98"/>
      <c r="L12" s="85"/>
    </row>
    <row r="13" spans="1:12" ht="12.75" customHeight="1" x14ac:dyDescent="0.25">
      <c r="A13" s="82" t="s">
        <v>29</v>
      </c>
      <c r="B13" s="85"/>
      <c r="C13" s="18"/>
      <c r="D13" s="17"/>
      <c r="E13" s="82" t="s">
        <v>29</v>
      </c>
      <c r="F13" s="98"/>
      <c r="G13" s="98"/>
      <c r="H13" s="85"/>
      <c r="I13" s="17"/>
      <c r="J13" s="82" t="s">
        <v>29</v>
      </c>
      <c r="K13" s="98"/>
      <c r="L13" s="85"/>
    </row>
    <row r="14" spans="1:12" ht="12.75" customHeight="1" x14ac:dyDescent="0.25">
      <c r="A14" s="82" t="s">
        <v>30</v>
      </c>
      <c r="B14" s="85"/>
      <c r="C14" s="18"/>
      <c r="D14" s="17"/>
      <c r="E14" s="82" t="s">
        <v>30</v>
      </c>
      <c r="F14" s="98"/>
      <c r="G14" s="98"/>
      <c r="H14" s="85"/>
      <c r="I14" s="17"/>
      <c r="J14" s="82" t="s">
        <v>30</v>
      </c>
      <c r="K14" s="98"/>
      <c r="L14" s="85"/>
    </row>
    <row r="15" spans="1:12" ht="12.75" customHeight="1" x14ac:dyDescent="0.25">
      <c r="A15" s="82" t="s">
        <v>31</v>
      </c>
      <c r="B15" s="85">
        <v>565</v>
      </c>
      <c r="C15" s="18"/>
      <c r="D15" s="17"/>
      <c r="E15" s="82" t="s">
        <v>31</v>
      </c>
      <c r="F15" s="98"/>
      <c r="G15" s="98"/>
      <c r="H15" s="85"/>
      <c r="I15" s="17"/>
      <c r="J15" s="82" t="s">
        <v>31</v>
      </c>
      <c r="K15" s="98"/>
      <c r="L15" s="85"/>
    </row>
    <row r="16" spans="1:12" ht="12.75" customHeight="1" x14ac:dyDescent="0.25">
      <c r="A16" s="82" t="s">
        <v>32</v>
      </c>
      <c r="B16" s="85">
        <v>565</v>
      </c>
      <c r="C16" s="18"/>
      <c r="D16" s="17"/>
      <c r="E16" s="82" t="s">
        <v>32</v>
      </c>
      <c r="F16" s="98"/>
      <c r="G16" s="98"/>
      <c r="H16" s="85"/>
      <c r="I16" s="17"/>
      <c r="J16" s="82" t="s">
        <v>32</v>
      </c>
      <c r="K16" s="98"/>
      <c r="L16" s="85"/>
    </row>
    <row r="17" spans="1:12" ht="12.75" customHeight="1" x14ac:dyDescent="0.25">
      <c r="A17" s="82" t="s">
        <v>33</v>
      </c>
      <c r="B17" s="85">
        <v>565</v>
      </c>
      <c r="C17" s="18"/>
      <c r="D17" s="17"/>
      <c r="E17" s="82" t="s">
        <v>33</v>
      </c>
      <c r="F17" s="98"/>
      <c r="G17" s="98"/>
      <c r="H17" s="85"/>
      <c r="I17" s="17"/>
      <c r="J17" s="82" t="s">
        <v>33</v>
      </c>
      <c r="K17" s="98"/>
      <c r="L17" s="85"/>
    </row>
    <row r="18" spans="1:12" ht="12.75" customHeight="1" x14ac:dyDescent="0.25">
      <c r="A18" s="82" t="s">
        <v>34</v>
      </c>
      <c r="B18" s="85">
        <v>565</v>
      </c>
      <c r="C18" s="18"/>
      <c r="D18" s="17"/>
      <c r="E18" s="82" t="s">
        <v>34</v>
      </c>
      <c r="F18" s="98"/>
      <c r="G18" s="98"/>
      <c r="H18" s="85"/>
      <c r="I18" s="17"/>
      <c r="J18" s="82" t="s">
        <v>34</v>
      </c>
      <c r="K18" s="98"/>
      <c r="L18" s="85"/>
    </row>
    <row r="19" spans="1:12" ht="12.75" customHeight="1" x14ac:dyDescent="0.25">
      <c r="A19" s="82" t="s">
        <v>35</v>
      </c>
      <c r="B19" s="85">
        <v>565</v>
      </c>
      <c r="C19" s="18"/>
      <c r="D19" s="17"/>
      <c r="E19" s="82" t="s">
        <v>35</v>
      </c>
      <c r="F19" s="98"/>
      <c r="G19" s="98"/>
      <c r="H19" s="85"/>
      <c r="I19" s="17"/>
      <c r="J19" s="82" t="s">
        <v>35</v>
      </c>
      <c r="K19" s="98"/>
      <c r="L19" s="85"/>
    </row>
    <row r="20" spans="1:12" ht="12.75" customHeight="1" x14ac:dyDescent="0.25">
      <c r="A20" s="82" t="s">
        <v>36</v>
      </c>
      <c r="B20" s="85">
        <v>565</v>
      </c>
      <c r="C20" s="18"/>
      <c r="D20" s="17"/>
      <c r="E20" s="82" t="s">
        <v>36</v>
      </c>
      <c r="F20" s="98"/>
      <c r="G20" s="98"/>
      <c r="H20" s="85"/>
      <c r="I20" s="17"/>
      <c r="J20" s="82" t="s">
        <v>36</v>
      </c>
      <c r="K20" s="98"/>
      <c r="L20" s="85"/>
    </row>
    <row r="21" spans="1:12" ht="12.75" customHeight="1" x14ac:dyDescent="0.25">
      <c r="A21" s="82"/>
      <c r="B21" s="85"/>
      <c r="C21" s="18"/>
      <c r="D21" s="17"/>
      <c r="E21" s="82"/>
      <c r="F21" s="98"/>
      <c r="G21" s="98"/>
      <c r="H21" s="85"/>
      <c r="I21" s="17"/>
      <c r="J21" s="82"/>
      <c r="K21" s="98"/>
      <c r="L21" s="85"/>
    </row>
    <row r="22" spans="1:12" ht="13.5" customHeight="1" x14ac:dyDescent="0.25">
      <c r="A22" s="83" t="s">
        <v>37</v>
      </c>
      <c r="B22" s="87">
        <f>SUM(B9:B21)</f>
        <v>3390</v>
      </c>
      <c r="C22" s="18"/>
      <c r="D22" s="17"/>
      <c r="E22" s="83" t="s">
        <v>37</v>
      </c>
      <c r="F22" s="96">
        <f t="shared" ref="F22:H22" si="0">SUM(F9:F20)</f>
        <v>0</v>
      </c>
      <c r="G22" s="96">
        <f t="shared" si="0"/>
        <v>0</v>
      </c>
      <c r="H22" s="97">
        <f t="shared" si="0"/>
        <v>0</v>
      </c>
      <c r="I22" s="17"/>
      <c r="J22" s="83" t="s">
        <v>37</v>
      </c>
      <c r="K22" s="100">
        <f>SUM(K9:K20)</f>
        <v>0</v>
      </c>
      <c r="L22" s="101"/>
    </row>
    <row r="23" spans="1:12" ht="12.75" customHeight="1" x14ac:dyDescent="0.2">
      <c r="A23" s="17"/>
      <c r="B23" s="17"/>
      <c r="C23" s="18"/>
      <c r="D23" s="17"/>
      <c r="E23" s="17"/>
      <c r="F23" s="17"/>
      <c r="G23" s="17"/>
      <c r="H23" s="17"/>
      <c r="I23" s="17"/>
      <c r="J23" s="17"/>
      <c r="K23" s="17"/>
      <c r="L23" s="17"/>
    </row>
    <row r="24" spans="1:12" ht="12.75" customHeight="1" x14ac:dyDescent="0.2">
      <c r="A24" s="17"/>
      <c r="B24" s="17"/>
      <c r="C24" s="18"/>
      <c r="D24" s="17"/>
      <c r="E24" s="17"/>
      <c r="F24" s="17"/>
      <c r="G24" s="17"/>
      <c r="H24" s="19" t="s">
        <v>38</v>
      </c>
      <c r="I24" s="17"/>
      <c r="J24" s="17"/>
      <c r="K24" s="17"/>
      <c r="L24" s="17"/>
    </row>
    <row r="25" spans="1:12" ht="12.75" customHeight="1" x14ac:dyDescent="0.2">
      <c r="A25" s="17"/>
      <c r="B25" s="17"/>
      <c r="C25" s="18"/>
      <c r="D25" s="17"/>
      <c r="E25" s="17"/>
      <c r="F25" s="17"/>
      <c r="G25" s="17"/>
      <c r="H25" s="17"/>
      <c r="I25" s="17"/>
      <c r="J25" s="17"/>
      <c r="K25" s="17"/>
      <c r="L25" s="17"/>
    </row>
    <row r="26" spans="1:12" ht="12.75" customHeight="1" x14ac:dyDescent="0.2">
      <c r="A26" s="17"/>
      <c r="B26" s="17"/>
      <c r="C26" s="18"/>
      <c r="D26" s="17"/>
      <c r="E26" s="17"/>
      <c r="F26" s="17"/>
      <c r="G26" s="17"/>
      <c r="H26" s="17"/>
      <c r="I26" s="17"/>
      <c r="J26" s="17"/>
      <c r="K26" s="17"/>
      <c r="L26" s="17"/>
    </row>
    <row r="27" spans="1:12" ht="12.75" customHeight="1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spans="1:12" ht="12.75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1:12" ht="12.75" customHeight="1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1:12" ht="12.75" customHeight="1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 spans="1:12" ht="12.75" customHeight="1" x14ac:dyDescent="0.2">
      <c r="A31" s="17"/>
      <c r="B31" s="1"/>
      <c r="C31" s="1"/>
      <c r="D31" s="1"/>
      <c r="E31" s="1"/>
      <c r="F31" s="1"/>
      <c r="G31" s="1"/>
      <c r="H31" s="1"/>
      <c r="I31" s="1"/>
      <c r="J31" s="1"/>
      <c r="K31" s="17"/>
      <c r="L31" s="17"/>
    </row>
    <row r="32" spans="1:12" ht="12.75" customHeight="1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</row>
    <row r="33" spans="1:12" ht="12.75" customHeight="1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spans="1:12" ht="12.75" customHeight="1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</row>
    <row r="35" spans="1:12" ht="12.75" customHeight="1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12" ht="12.75" customHeight="1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7" spans="1:12" ht="12.75" customHeight="1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spans="1:12" ht="12.75" customHeight="1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</row>
    <row r="39" spans="1:12" ht="12.75" customHeight="1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</row>
    <row r="40" spans="1:12" ht="12.75" customHeight="1" x14ac:dyDescent="0.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</row>
    <row r="41" spans="1:12" ht="12.75" customHeight="1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</row>
    <row r="42" spans="1:12" ht="12.75" customHeight="1" x14ac:dyDescent="0.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</row>
    <row r="43" spans="1:12" ht="12.75" customHeight="1" x14ac:dyDescent="0.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</row>
    <row r="44" spans="1:12" ht="12.75" customHeight="1" x14ac:dyDescent="0.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</row>
    <row r="45" spans="1:12" ht="12.75" customHeight="1" x14ac:dyDescent="0.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</row>
    <row r="46" spans="1:12" ht="12.75" customHeight="1" x14ac:dyDescent="0.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</row>
    <row r="47" spans="1:12" ht="12.75" customHeight="1" x14ac:dyDescent="0.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</row>
    <row r="48" spans="1:12" ht="12.75" customHeight="1" x14ac:dyDescent="0.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</row>
    <row r="49" spans="1:12" ht="12.75" customHeight="1" x14ac:dyDescent="0.2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</row>
    <row r="50" spans="1:12" ht="12.75" customHeight="1" x14ac:dyDescent="0.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</row>
    <row r="51" spans="1:12" ht="12.75" customHeight="1" x14ac:dyDescent="0.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</row>
    <row r="52" spans="1:12" ht="12.75" customHeight="1" x14ac:dyDescent="0.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</row>
    <row r="53" spans="1:12" ht="12.75" customHeight="1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</row>
    <row r="54" spans="1:12" ht="12.75" customHeight="1" x14ac:dyDescent="0.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</row>
    <row r="55" spans="1:12" ht="12.75" customHeight="1" x14ac:dyDescent="0.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</row>
    <row r="56" spans="1:12" ht="12.75" customHeight="1" x14ac:dyDescent="0.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</row>
    <row r="57" spans="1:12" ht="12.75" customHeight="1" x14ac:dyDescent="0.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</row>
    <row r="58" spans="1:12" ht="12.75" customHeight="1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</row>
    <row r="59" spans="1:12" ht="12.75" customHeight="1" x14ac:dyDescent="0.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</row>
    <row r="60" spans="1:12" ht="12.75" customHeight="1" x14ac:dyDescent="0.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</row>
    <row r="61" spans="1:12" ht="12.75" customHeight="1" x14ac:dyDescent="0.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</row>
    <row r="62" spans="1:12" ht="12.75" customHeight="1" x14ac:dyDescent="0.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</row>
    <row r="63" spans="1:12" ht="12.75" customHeight="1" x14ac:dyDescent="0.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</row>
    <row r="64" spans="1:12" ht="12.75" customHeight="1" x14ac:dyDescent="0.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</row>
    <row r="65" spans="1:12" ht="12.75" customHeight="1" x14ac:dyDescent="0.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</row>
    <row r="66" spans="1:12" ht="12.75" customHeight="1" x14ac:dyDescent="0.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</row>
    <row r="67" spans="1:12" ht="12.75" customHeight="1" x14ac:dyDescent="0.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</row>
    <row r="68" spans="1:12" ht="12.75" customHeight="1" x14ac:dyDescent="0.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</row>
    <row r="69" spans="1:12" ht="12.75" customHeight="1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</row>
    <row r="70" spans="1:12" ht="12.75" customHeight="1" x14ac:dyDescent="0.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</row>
    <row r="71" spans="1:12" ht="12.75" customHeight="1" x14ac:dyDescent="0.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</row>
    <row r="72" spans="1:12" ht="12.75" customHeight="1" x14ac:dyDescent="0.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</row>
    <row r="73" spans="1:12" ht="12.75" customHeight="1" x14ac:dyDescent="0.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</row>
    <row r="74" spans="1:12" ht="12.75" customHeight="1" x14ac:dyDescent="0.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</row>
    <row r="75" spans="1:12" ht="12.75" customHeight="1" x14ac:dyDescent="0.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</row>
    <row r="76" spans="1:12" ht="12.75" customHeight="1" x14ac:dyDescent="0.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</row>
    <row r="77" spans="1:12" ht="12.75" customHeight="1" x14ac:dyDescent="0.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</row>
    <row r="78" spans="1:12" ht="12.75" customHeight="1" x14ac:dyDescent="0.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</row>
    <row r="79" spans="1:12" ht="12.75" customHeight="1" x14ac:dyDescent="0.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</row>
    <row r="80" spans="1:12" ht="12.75" customHeight="1" x14ac:dyDescent="0.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</row>
    <row r="81" spans="1:12" ht="12.75" customHeight="1" x14ac:dyDescent="0.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</row>
    <row r="82" spans="1:12" ht="12.75" customHeight="1" x14ac:dyDescent="0.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</row>
    <row r="83" spans="1:12" ht="12.75" customHeight="1" x14ac:dyDescent="0.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</row>
    <row r="84" spans="1:12" ht="12.75" customHeight="1" x14ac:dyDescent="0.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</row>
    <row r="85" spans="1:12" ht="12.75" customHeight="1" x14ac:dyDescent="0.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</row>
    <row r="86" spans="1:12" ht="12.75" customHeight="1" x14ac:dyDescent="0.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</row>
    <row r="87" spans="1:12" ht="12.75" customHeight="1" x14ac:dyDescent="0.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</row>
    <row r="88" spans="1:12" ht="12.75" customHeight="1" x14ac:dyDescent="0.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</row>
    <row r="89" spans="1:12" ht="12.75" customHeight="1" x14ac:dyDescent="0.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</row>
    <row r="90" spans="1:12" ht="12.75" customHeight="1" x14ac:dyDescent="0.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</row>
    <row r="91" spans="1:12" ht="12.75" customHeight="1" x14ac:dyDescent="0.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</row>
    <row r="92" spans="1:12" ht="12.75" customHeight="1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</row>
    <row r="93" spans="1:12" ht="12.75" customHeight="1" x14ac:dyDescent="0.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</row>
    <row r="94" spans="1:12" ht="12.75" customHeight="1" x14ac:dyDescent="0.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</row>
    <row r="95" spans="1:12" ht="12.75" customHeight="1" x14ac:dyDescent="0.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</row>
    <row r="96" spans="1:12" ht="12.75" customHeight="1" x14ac:dyDescent="0.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</row>
    <row r="97" spans="1:12" ht="12.75" customHeight="1" x14ac:dyDescent="0.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</row>
    <row r="98" spans="1:12" ht="12.75" customHeight="1" x14ac:dyDescent="0.2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</row>
    <row r="99" spans="1:12" ht="12.75" customHeight="1" x14ac:dyDescent="0.2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</row>
    <row r="100" spans="1:12" ht="12.75" customHeight="1" x14ac:dyDescent="0.2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</row>
    <row r="101" spans="1:12" ht="12.75" customHeight="1" x14ac:dyDescent="0.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</row>
    <row r="102" spans="1:12" ht="12.75" customHeight="1" x14ac:dyDescent="0.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</row>
    <row r="103" spans="1:12" ht="12.75" customHeight="1" x14ac:dyDescent="0.2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</row>
    <row r="104" spans="1:12" ht="12.75" customHeight="1" x14ac:dyDescent="0.2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</row>
    <row r="105" spans="1:12" ht="12.75" customHeight="1" x14ac:dyDescent="0.2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</row>
    <row r="106" spans="1:12" ht="12.75" customHeight="1" x14ac:dyDescent="0.2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</row>
    <row r="107" spans="1:12" ht="12.75" customHeight="1" x14ac:dyDescent="0.2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</row>
    <row r="108" spans="1:12" ht="12.75" customHeight="1" x14ac:dyDescent="0.2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</row>
    <row r="109" spans="1:12" ht="12.75" customHeight="1" x14ac:dyDescent="0.2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</row>
    <row r="110" spans="1:12" ht="12.75" customHeight="1" x14ac:dyDescent="0.2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</row>
    <row r="111" spans="1:12" ht="12.75" customHeight="1" x14ac:dyDescent="0.2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</row>
    <row r="112" spans="1:12" ht="12.75" customHeight="1" x14ac:dyDescent="0.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</row>
    <row r="113" spans="1:12" ht="12.75" customHeight="1" x14ac:dyDescent="0.2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</row>
    <row r="114" spans="1:12" ht="12.75" customHeight="1" x14ac:dyDescent="0.2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</row>
    <row r="115" spans="1:12" ht="12.75" customHeight="1" x14ac:dyDescent="0.2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</row>
    <row r="116" spans="1:12" ht="12.75" customHeight="1" x14ac:dyDescent="0.2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</row>
    <row r="117" spans="1:12" ht="12.75" customHeight="1" x14ac:dyDescent="0.2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</row>
    <row r="118" spans="1:12" ht="12.75" customHeight="1" x14ac:dyDescent="0.2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</row>
    <row r="119" spans="1:12" ht="12.75" customHeight="1" x14ac:dyDescent="0.2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</row>
    <row r="120" spans="1:12" ht="12.75" customHeight="1" x14ac:dyDescent="0.2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</row>
    <row r="121" spans="1:12" ht="12.75" customHeight="1" x14ac:dyDescent="0.2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</row>
    <row r="122" spans="1:12" ht="12.75" customHeight="1" x14ac:dyDescent="0.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</row>
    <row r="123" spans="1:12" ht="12.75" customHeight="1" x14ac:dyDescent="0.2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</row>
    <row r="124" spans="1:12" ht="12.75" customHeight="1" x14ac:dyDescent="0.2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</row>
    <row r="125" spans="1:12" ht="12.75" customHeight="1" x14ac:dyDescent="0.2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</row>
    <row r="126" spans="1:12" ht="12.75" customHeight="1" x14ac:dyDescent="0.2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</row>
    <row r="127" spans="1:12" ht="12.75" customHeight="1" x14ac:dyDescent="0.2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</row>
    <row r="128" spans="1:12" ht="12.75" customHeight="1" x14ac:dyDescent="0.2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</row>
    <row r="129" spans="1:12" ht="12.75" customHeight="1" x14ac:dyDescent="0.2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</row>
    <row r="130" spans="1:12" ht="12.75" customHeight="1" x14ac:dyDescent="0.2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</row>
    <row r="131" spans="1:12" ht="12.75" customHeight="1" x14ac:dyDescent="0.2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</row>
    <row r="132" spans="1:12" ht="12.75" customHeight="1" x14ac:dyDescent="0.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</row>
    <row r="133" spans="1:12" ht="12.75" customHeight="1" x14ac:dyDescent="0.2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</row>
    <row r="134" spans="1:12" ht="12.75" customHeight="1" x14ac:dyDescent="0.2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</row>
    <row r="135" spans="1:12" ht="12.75" customHeight="1" x14ac:dyDescent="0.2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</row>
    <row r="136" spans="1:12" ht="12.75" customHeight="1" x14ac:dyDescent="0.2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</row>
    <row r="137" spans="1:12" ht="12.75" customHeight="1" x14ac:dyDescent="0.2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</row>
    <row r="138" spans="1:12" ht="12.75" customHeight="1" x14ac:dyDescent="0.2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</row>
    <row r="139" spans="1:12" ht="12.75" customHeight="1" x14ac:dyDescent="0.2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</row>
    <row r="140" spans="1:12" ht="12.75" customHeight="1" x14ac:dyDescent="0.2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</row>
    <row r="141" spans="1:12" ht="12.75" customHeight="1" x14ac:dyDescent="0.2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</row>
    <row r="142" spans="1:12" ht="12.75" customHeight="1" x14ac:dyDescent="0.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</row>
    <row r="143" spans="1:12" ht="12.75" customHeight="1" x14ac:dyDescent="0.2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</row>
    <row r="144" spans="1:12" ht="12.75" customHeight="1" x14ac:dyDescent="0.2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</row>
    <row r="145" spans="1:12" ht="12.75" customHeight="1" x14ac:dyDescent="0.2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</row>
    <row r="146" spans="1:12" ht="12.75" customHeight="1" x14ac:dyDescent="0.2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</row>
    <row r="147" spans="1:12" ht="12.75" customHeight="1" x14ac:dyDescent="0.2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</row>
    <row r="148" spans="1:12" ht="12.75" customHeight="1" x14ac:dyDescent="0.2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</row>
    <row r="149" spans="1:12" ht="12.75" customHeight="1" x14ac:dyDescent="0.2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</row>
    <row r="150" spans="1:12" ht="12.75" customHeight="1" x14ac:dyDescent="0.2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</row>
    <row r="151" spans="1:12" ht="12.75" customHeight="1" x14ac:dyDescent="0.2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</row>
    <row r="152" spans="1:12" ht="12.75" customHeight="1" x14ac:dyDescent="0.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</row>
    <row r="153" spans="1:12" ht="12.75" customHeight="1" x14ac:dyDescent="0.2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</row>
    <row r="154" spans="1:12" ht="12.75" customHeight="1" x14ac:dyDescent="0.2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</row>
    <row r="155" spans="1:12" ht="12.75" customHeight="1" x14ac:dyDescent="0.2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</row>
    <row r="156" spans="1:12" ht="12.75" customHeight="1" x14ac:dyDescent="0.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</row>
    <row r="157" spans="1:12" ht="12.75" customHeight="1" x14ac:dyDescent="0.2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</row>
    <row r="158" spans="1:12" ht="12.75" customHeight="1" x14ac:dyDescent="0.2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</row>
    <row r="159" spans="1:12" ht="12.75" customHeight="1" x14ac:dyDescent="0.2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</row>
    <row r="160" spans="1:12" ht="12.75" customHeight="1" x14ac:dyDescent="0.2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</row>
    <row r="161" spans="1:12" ht="12.75" customHeight="1" x14ac:dyDescent="0.2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</row>
    <row r="162" spans="1:12" ht="12.75" customHeight="1" x14ac:dyDescent="0.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</row>
    <row r="163" spans="1:12" ht="12.75" customHeight="1" x14ac:dyDescent="0.2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</row>
    <row r="164" spans="1:12" ht="12.75" customHeight="1" x14ac:dyDescent="0.2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</row>
    <row r="165" spans="1:12" ht="12.75" customHeight="1" x14ac:dyDescent="0.2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</row>
    <row r="166" spans="1:12" ht="12.75" customHeight="1" x14ac:dyDescent="0.2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</row>
    <row r="167" spans="1:12" ht="12.75" customHeight="1" x14ac:dyDescent="0.2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</row>
    <row r="168" spans="1:12" ht="12.75" customHeight="1" x14ac:dyDescent="0.2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</row>
    <row r="169" spans="1:12" ht="12.75" customHeight="1" x14ac:dyDescent="0.2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</row>
    <row r="170" spans="1:12" ht="12.75" customHeight="1" x14ac:dyDescent="0.2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</row>
    <row r="171" spans="1:12" ht="12.75" customHeight="1" x14ac:dyDescent="0.2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</row>
    <row r="172" spans="1:12" ht="12.75" customHeight="1" x14ac:dyDescent="0.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</row>
    <row r="173" spans="1:12" ht="12.75" customHeight="1" x14ac:dyDescent="0.2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</row>
    <row r="174" spans="1:12" ht="12.75" customHeight="1" x14ac:dyDescent="0.2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</row>
    <row r="175" spans="1:12" ht="12.75" customHeight="1" x14ac:dyDescent="0.2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</row>
    <row r="176" spans="1:12" ht="12.75" customHeight="1" x14ac:dyDescent="0.2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</row>
    <row r="177" spans="1:12" ht="12.75" customHeight="1" x14ac:dyDescent="0.2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</row>
    <row r="178" spans="1:12" ht="12.75" customHeight="1" x14ac:dyDescent="0.2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</row>
    <row r="179" spans="1:12" ht="12.75" customHeight="1" x14ac:dyDescent="0.2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</row>
    <row r="180" spans="1:12" ht="12.75" customHeight="1" x14ac:dyDescent="0.2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</row>
    <row r="181" spans="1:12" ht="12.75" customHeight="1" x14ac:dyDescent="0.2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</row>
    <row r="182" spans="1:12" ht="12.75" customHeight="1" x14ac:dyDescent="0.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</row>
    <row r="183" spans="1:12" ht="12.75" customHeight="1" x14ac:dyDescent="0.2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</row>
    <row r="184" spans="1:12" ht="12.75" customHeight="1" x14ac:dyDescent="0.2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</row>
    <row r="185" spans="1:12" ht="12.75" customHeight="1" x14ac:dyDescent="0.2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</row>
    <row r="186" spans="1:12" ht="12.75" customHeight="1" x14ac:dyDescent="0.2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</row>
    <row r="187" spans="1:12" ht="12.75" customHeight="1" x14ac:dyDescent="0.2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</row>
    <row r="188" spans="1:12" ht="12.75" customHeight="1" x14ac:dyDescent="0.2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</row>
    <row r="189" spans="1:12" ht="12.75" customHeight="1" x14ac:dyDescent="0.2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</row>
    <row r="190" spans="1:12" ht="12.75" customHeight="1" x14ac:dyDescent="0.2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</row>
    <row r="191" spans="1:12" ht="12.75" customHeight="1" x14ac:dyDescent="0.2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</row>
    <row r="192" spans="1:12" ht="12.75" customHeight="1" x14ac:dyDescent="0.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</row>
    <row r="193" spans="1:12" ht="12.75" customHeight="1" x14ac:dyDescent="0.2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</row>
    <row r="194" spans="1:12" ht="12.75" customHeight="1" x14ac:dyDescent="0.2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</row>
    <row r="195" spans="1:12" ht="12.75" customHeight="1" x14ac:dyDescent="0.2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</row>
    <row r="196" spans="1:12" ht="12.75" customHeight="1" x14ac:dyDescent="0.2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</row>
    <row r="197" spans="1:12" ht="12.75" customHeight="1" x14ac:dyDescent="0.2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</row>
    <row r="198" spans="1:12" ht="12.75" customHeight="1" x14ac:dyDescent="0.2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</row>
    <row r="199" spans="1:12" ht="12.75" customHeight="1" x14ac:dyDescent="0.2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</row>
    <row r="200" spans="1:12" ht="12.75" customHeight="1" x14ac:dyDescent="0.2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</row>
    <row r="201" spans="1:12" ht="12.75" customHeight="1" x14ac:dyDescent="0.2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</row>
    <row r="202" spans="1:12" ht="12.75" customHeight="1" x14ac:dyDescent="0.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</row>
    <row r="203" spans="1:12" ht="12.75" customHeight="1" x14ac:dyDescent="0.2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</row>
    <row r="204" spans="1:12" ht="12.75" customHeight="1" x14ac:dyDescent="0.2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</row>
    <row r="205" spans="1:12" ht="12.75" customHeight="1" x14ac:dyDescent="0.2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</row>
    <row r="206" spans="1:12" ht="12.75" customHeight="1" x14ac:dyDescent="0.2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</row>
    <row r="207" spans="1:12" ht="12.75" customHeight="1" x14ac:dyDescent="0.2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</row>
    <row r="208" spans="1:12" ht="12.75" customHeight="1" x14ac:dyDescent="0.2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</row>
    <row r="209" spans="1:12" ht="12.75" customHeight="1" x14ac:dyDescent="0.2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</row>
    <row r="210" spans="1:12" ht="12.75" customHeight="1" x14ac:dyDescent="0.2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</row>
    <row r="211" spans="1:12" ht="12.75" customHeight="1" x14ac:dyDescent="0.2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</row>
    <row r="212" spans="1:12" ht="12.75" customHeight="1" x14ac:dyDescent="0.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</row>
    <row r="213" spans="1:12" ht="12.75" customHeight="1" x14ac:dyDescent="0.2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</row>
    <row r="214" spans="1:12" ht="12.75" customHeight="1" x14ac:dyDescent="0.2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</row>
    <row r="215" spans="1:12" ht="12.75" customHeight="1" x14ac:dyDescent="0.2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</row>
    <row r="216" spans="1:12" ht="12.75" customHeight="1" x14ac:dyDescent="0.2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</row>
    <row r="217" spans="1:12" ht="12.75" customHeight="1" x14ac:dyDescent="0.2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</row>
    <row r="218" spans="1:12" ht="12.75" customHeight="1" x14ac:dyDescent="0.2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</row>
    <row r="219" spans="1:12" ht="12.75" customHeight="1" x14ac:dyDescent="0.2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</row>
    <row r="220" spans="1:12" ht="12.75" customHeight="1" x14ac:dyDescent="0.2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</row>
    <row r="221" spans="1:12" ht="12.75" customHeight="1" x14ac:dyDescent="0.2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</row>
    <row r="222" spans="1:12" ht="12.75" customHeight="1" x14ac:dyDescent="0.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</row>
    <row r="223" spans="1:12" ht="12.75" customHeight="1" x14ac:dyDescent="0.2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</row>
    <row r="224" spans="1:12" ht="12.75" customHeight="1" x14ac:dyDescent="0.2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</row>
    <row r="225" spans="1:12" ht="12.75" customHeight="1" x14ac:dyDescent="0.2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</row>
    <row r="226" spans="1:12" ht="12.75" customHeight="1" x14ac:dyDescent="0.2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</row>
    <row r="227" spans="1:12" ht="12.75" customHeight="1" x14ac:dyDescent="0.2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</row>
    <row r="228" spans="1:12" ht="12.75" customHeight="1" x14ac:dyDescent="0.2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</row>
    <row r="229" spans="1:12" ht="12.75" customHeight="1" x14ac:dyDescent="0.2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</row>
    <row r="230" spans="1:12" ht="12.75" customHeight="1" x14ac:dyDescent="0.2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</row>
    <row r="231" spans="1:12" ht="12.75" customHeight="1" x14ac:dyDescent="0.2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</row>
    <row r="232" spans="1:12" ht="12.75" customHeight="1" x14ac:dyDescent="0.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</row>
    <row r="233" spans="1:12" ht="12.75" customHeight="1" x14ac:dyDescent="0.2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</row>
    <row r="234" spans="1:12" ht="12.75" customHeight="1" x14ac:dyDescent="0.2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</row>
    <row r="235" spans="1:12" ht="12.75" customHeight="1" x14ac:dyDescent="0.2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</row>
    <row r="236" spans="1:12" ht="12.75" customHeight="1" x14ac:dyDescent="0.2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</row>
    <row r="237" spans="1:12" ht="12.75" customHeight="1" x14ac:dyDescent="0.2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</row>
    <row r="238" spans="1:12" ht="12.75" customHeight="1" x14ac:dyDescent="0.2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</row>
    <row r="239" spans="1:12" ht="12.75" customHeight="1" x14ac:dyDescent="0.2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</row>
    <row r="240" spans="1:12" ht="12.75" customHeight="1" x14ac:dyDescent="0.2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</row>
    <row r="241" spans="1:12" ht="12.75" customHeight="1" x14ac:dyDescent="0.2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</row>
    <row r="242" spans="1:12" ht="12.75" customHeight="1" x14ac:dyDescent="0.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</row>
    <row r="243" spans="1:12" ht="12.75" customHeight="1" x14ac:dyDescent="0.2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</row>
    <row r="244" spans="1:12" ht="12.75" customHeight="1" x14ac:dyDescent="0.2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</row>
    <row r="245" spans="1:12" ht="12.75" customHeight="1" x14ac:dyDescent="0.2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</row>
    <row r="246" spans="1:12" ht="12.75" customHeight="1" x14ac:dyDescent="0.2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</row>
    <row r="247" spans="1:12" ht="12.75" customHeight="1" x14ac:dyDescent="0.2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</row>
    <row r="248" spans="1:12" ht="12.75" customHeight="1" x14ac:dyDescent="0.2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</row>
    <row r="249" spans="1:12" ht="12.75" customHeight="1" x14ac:dyDescent="0.2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</row>
    <row r="250" spans="1:12" ht="12.75" customHeight="1" x14ac:dyDescent="0.2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</row>
    <row r="251" spans="1:12" ht="12.75" customHeight="1" x14ac:dyDescent="0.2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</row>
    <row r="252" spans="1:12" ht="12.75" customHeight="1" x14ac:dyDescent="0.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</row>
    <row r="253" spans="1:12" ht="12.75" customHeight="1" x14ac:dyDescent="0.2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</row>
    <row r="254" spans="1:12" ht="12.75" customHeight="1" x14ac:dyDescent="0.2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</row>
    <row r="255" spans="1:12" ht="12.75" customHeight="1" x14ac:dyDescent="0.2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</row>
    <row r="256" spans="1:12" ht="12.75" customHeight="1" x14ac:dyDescent="0.2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</row>
    <row r="257" spans="1:12" ht="12.75" customHeight="1" x14ac:dyDescent="0.2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</row>
    <row r="258" spans="1:12" ht="12.75" customHeight="1" x14ac:dyDescent="0.2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</row>
    <row r="259" spans="1:12" ht="12.75" customHeight="1" x14ac:dyDescent="0.2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</row>
    <row r="260" spans="1:12" ht="12.75" customHeight="1" x14ac:dyDescent="0.2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</row>
    <row r="261" spans="1:12" ht="12.75" customHeight="1" x14ac:dyDescent="0.2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</row>
    <row r="262" spans="1:12" ht="12.75" customHeight="1" x14ac:dyDescent="0.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</row>
    <row r="263" spans="1:12" ht="12.75" customHeight="1" x14ac:dyDescent="0.2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</row>
    <row r="264" spans="1:12" ht="12.75" customHeight="1" x14ac:dyDescent="0.2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</row>
    <row r="265" spans="1:12" ht="12.75" customHeight="1" x14ac:dyDescent="0.2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</row>
    <row r="266" spans="1:12" ht="12.75" customHeight="1" x14ac:dyDescent="0.2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</row>
    <row r="267" spans="1:12" ht="12.75" customHeight="1" x14ac:dyDescent="0.2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</row>
    <row r="268" spans="1:12" ht="12.75" customHeight="1" x14ac:dyDescent="0.2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</row>
    <row r="269" spans="1:12" ht="12.75" customHeight="1" x14ac:dyDescent="0.2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</row>
    <row r="270" spans="1:12" ht="12.75" customHeight="1" x14ac:dyDescent="0.2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</row>
    <row r="271" spans="1:12" ht="12.75" customHeight="1" x14ac:dyDescent="0.2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</row>
    <row r="272" spans="1:12" ht="12.75" customHeight="1" x14ac:dyDescent="0.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</row>
    <row r="273" spans="1:12" ht="12.75" customHeight="1" x14ac:dyDescent="0.2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</row>
    <row r="274" spans="1:12" ht="12.75" customHeight="1" x14ac:dyDescent="0.2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</row>
    <row r="275" spans="1:12" ht="12.75" customHeight="1" x14ac:dyDescent="0.2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</row>
    <row r="276" spans="1:12" ht="12.75" customHeight="1" x14ac:dyDescent="0.2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</row>
    <row r="277" spans="1:12" ht="12.75" customHeight="1" x14ac:dyDescent="0.2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</row>
    <row r="278" spans="1:12" ht="12.75" customHeight="1" x14ac:dyDescent="0.2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</row>
    <row r="279" spans="1:12" ht="12.75" customHeight="1" x14ac:dyDescent="0.2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</row>
    <row r="280" spans="1:12" ht="12.75" customHeight="1" x14ac:dyDescent="0.2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</row>
    <row r="281" spans="1:12" ht="12.75" customHeight="1" x14ac:dyDescent="0.2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</row>
    <row r="282" spans="1:12" ht="12.75" customHeight="1" x14ac:dyDescent="0.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</row>
    <row r="283" spans="1:12" ht="12.75" customHeight="1" x14ac:dyDescent="0.2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</row>
    <row r="284" spans="1:12" ht="12.75" customHeight="1" x14ac:dyDescent="0.2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</row>
    <row r="285" spans="1:12" ht="12.75" customHeight="1" x14ac:dyDescent="0.2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</row>
    <row r="286" spans="1:12" ht="12.75" customHeight="1" x14ac:dyDescent="0.2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</row>
    <row r="287" spans="1:12" ht="12.75" customHeight="1" x14ac:dyDescent="0.2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</row>
    <row r="288" spans="1:12" ht="12.75" customHeight="1" x14ac:dyDescent="0.2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</row>
    <row r="289" spans="1:12" ht="12.75" customHeight="1" x14ac:dyDescent="0.2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</row>
    <row r="290" spans="1:12" ht="12.75" customHeight="1" x14ac:dyDescent="0.2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</row>
    <row r="291" spans="1:12" ht="12.75" customHeight="1" x14ac:dyDescent="0.2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</row>
    <row r="292" spans="1:12" ht="12.75" customHeight="1" x14ac:dyDescent="0.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</row>
    <row r="293" spans="1:12" ht="12.75" customHeight="1" x14ac:dyDescent="0.2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</row>
    <row r="294" spans="1:12" ht="12.75" customHeight="1" x14ac:dyDescent="0.2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</row>
    <row r="295" spans="1:12" ht="12.75" customHeight="1" x14ac:dyDescent="0.2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</row>
    <row r="296" spans="1:12" ht="12.75" customHeight="1" x14ac:dyDescent="0.2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</row>
    <row r="297" spans="1:12" ht="12.75" customHeight="1" x14ac:dyDescent="0.2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</row>
    <row r="298" spans="1:12" ht="12.75" customHeight="1" x14ac:dyDescent="0.2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</row>
    <row r="299" spans="1:12" ht="12.75" customHeight="1" x14ac:dyDescent="0.2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</row>
    <row r="300" spans="1:12" ht="12.75" customHeight="1" x14ac:dyDescent="0.2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</row>
    <row r="301" spans="1:12" ht="12.75" customHeight="1" x14ac:dyDescent="0.2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</row>
    <row r="302" spans="1:12" ht="12.75" customHeight="1" x14ac:dyDescent="0.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</row>
    <row r="303" spans="1:12" ht="12.75" customHeight="1" x14ac:dyDescent="0.2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</row>
    <row r="304" spans="1:12" ht="12.75" customHeight="1" x14ac:dyDescent="0.2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</row>
    <row r="305" spans="1:12" ht="12.75" customHeight="1" x14ac:dyDescent="0.2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</row>
    <row r="306" spans="1:12" ht="12.75" customHeight="1" x14ac:dyDescent="0.2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</row>
    <row r="307" spans="1:12" ht="12.75" customHeight="1" x14ac:dyDescent="0.2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</row>
    <row r="308" spans="1:12" ht="12.75" customHeight="1" x14ac:dyDescent="0.2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</row>
    <row r="309" spans="1:12" ht="12.75" customHeight="1" x14ac:dyDescent="0.2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</row>
    <row r="310" spans="1:12" ht="12.75" customHeight="1" x14ac:dyDescent="0.2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</row>
    <row r="311" spans="1:12" ht="12.75" customHeight="1" x14ac:dyDescent="0.2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</row>
    <row r="312" spans="1:12" ht="12.75" customHeight="1" x14ac:dyDescent="0.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</row>
    <row r="313" spans="1:12" ht="12.75" customHeight="1" x14ac:dyDescent="0.2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</row>
    <row r="314" spans="1:12" ht="12.75" customHeight="1" x14ac:dyDescent="0.2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</row>
    <row r="315" spans="1:12" ht="12.75" customHeight="1" x14ac:dyDescent="0.2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</row>
    <row r="316" spans="1:12" ht="12.75" customHeight="1" x14ac:dyDescent="0.2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</row>
    <row r="317" spans="1:12" ht="12.75" customHeight="1" x14ac:dyDescent="0.2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</row>
    <row r="318" spans="1:12" ht="12.75" customHeight="1" x14ac:dyDescent="0.2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</row>
    <row r="319" spans="1:12" ht="12.75" customHeight="1" x14ac:dyDescent="0.2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</row>
    <row r="320" spans="1:12" ht="12.75" customHeight="1" x14ac:dyDescent="0.2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</row>
    <row r="321" spans="1:12" ht="12.75" customHeight="1" x14ac:dyDescent="0.2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</row>
    <row r="322" spans="1:12" ht="12.75" customHeight="1" x14ac:dyDescent="0.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</row>
    <row r="323" spans="1:12" ht="12.75" customHeight="1" x14ac:dyDescent="0.2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</row>
    <row r="324" spans="1:12" ht="12.75" customHeight="1" x14ac:dyDescent="0.2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</row>
    <row r="325" spans="1:12" ht="12.75" customHeight="1" x14ac:dyDescent="0.2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</row>
    <row r="326" spans="1:12" ht="12.75" customHeight="1" x14ac:dyDescent="0.2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</row>
    <row r="327" spans="1:12" ht="12.75" customHeight="1" x14ac:dyDescent="0.2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</row>
    <row r="328" spans="1:12" ht="12.75" customHeight="1" x14ac:dyDescent="0.2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</row>
    <row r="329" spans="1:12" ht="12.75" customHeight="1" x14ac:dyDescent="0.2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</row>
    <row r="330" spans="1:12" ht="12.75" customHeight="1" x14ac:dyDescent="0.2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</row>
    <row r="331" spans="1:12" ht="12.75" customHeight="1" x14ac:dyDescent="0.2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</row>
    <row r="332" spans="1:12" ht="12.75" customHeight="1" x14ac:dyDescent="0.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</row>
    <row r="333" spans="1:12" ht="12.75" customHeight="1" x14ac:dyDescent="0.2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</row>
    <row r="334" spans="1:12" ht="12.75" customHeight="1" x14ac:dyDescent="0.2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</row>
    <row r="335" spans="1:12" ht="12.75" customHeight="1" x14ac:dyDescent="0.2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</row>
    <row r="336" spans="1:12" ht="12.75" customHeight="1" x14ac:dyDescent="0.2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</row>
    <row r="337" spans="1:12" ht="12.75" customHeight="1" x14ac:dyDescent="0.2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</row>
    <row r="338" spans="1:12" ht="12.75" customHeight="1" x14ac:dyDescent="0.2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</row>
    <row r="339" spans="1:12" ht="12.75" customHeight="1" x14ac:dyDescent="0.2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</row>
    <row r="340" spans="1:12" ht="12.75" customHeight="1" x14ac:dyDescent="0.2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</row>
    <row r="341" spans="1:12" ht="12.75" customHeight="1" x14ac:dyDescent="0.2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</row>
    <row r="342" spans="1:12" ht="12.75" customHeight="1" x14ac:dyDescent="0.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</row>
    <row r="343" spans="1:12" ht="12.75" customHeight="1" x14ac:dyDescent="0.2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</row>
    <row r="344" spans="1:12" ht="12.75" customHeight="1" x14ac:dyDescent="0.2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</row>
    <row r="345" spans="1:12" ht="12.75" customHeight="1" x14ac:dyDescent="0.2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</row>
    <row r="346" spans="1:12" ht="12.75" customHeight="1" x14ac:dyDescent="0.2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</row>
    <row r="347" spans="1:12" ht="12.75" customHeight="1" x14ac:dyDescent="0.2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</row>
    <row r="348" spans="1:12" ht="12.75" customHeight="1" x14ac:dyDescent="0.2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</row>
    <row r="349" spans="1:12" ht="12.75" customHeight="1" x14ac:dyDescent="0.2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</row>
    <row r="350" spans="1:12" ht="12.75" customHeight="1" x14ac:dyDescent="0.2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</row>
    <row r="351" spans="1:12" ht="12.75" customHeight="1" x14ac:dyDescent="0.2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</row>
    <row r="352" spans="1:12" ht="12.75" customHeight="1" x14ac:dyDescent="0.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</row>
    <row r="353" spans="1:12" ht="12.75" customHeight="1" x14ac:dyDescent="0.2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</row>
    <row r="354" spans="1:12" ht="12.75" customHeight="1" x14ac:dyDescent="0.2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</row>
    <row r="355" spans="1:12" ht="12.75" customHeight="1" x14ac:dyDescent="0.2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</row>
    <row r="356" spans="1:12" ht="12.75" customHeight="1" x14ac:dyDescent="0.2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</row>
    <row r="357" spans="1:12" ht="12.75" customHeight="1" x14ac:dyDescent="0.2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</row>
    <row r="358" spans="1:12" ht="12.75" customHeight="1" x14ac:dyDescent="0.2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</row>
    <row r="359" spans="1:12" ht="12.75" customHeight="1" x14ac:dyDescent="0.2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</row>
    <row r="360" spans="1:12" ht="12.75" customHeight="1" x14ac:dyDescent="0.2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</row>
    <row r="361" spans="1:12" ht="12.75" customHeight="1" x14ac:dyDescent="0.2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</row>
    <row r="362" spans="1:12" ht="12.75" customHeight="1" x14ac:dyDescent="0.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</row>
    <row r="363" spans="1:12" ht="12.75" customHeight="1" x14ac:dyDescent="0.2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</row>
    <row r="364" spans="1:12" ht="12.75" customHeight="1" x14ac:dyDescent="0.2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</row>
    <row r="365" spans="1:12" ht="12.75" customHeight="1" x14ac:dyDescent="0.2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</row>
    <row r="366" spans="1:12" ht="12.75" customHeight="1" x14ac:dyDescent="0.2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</row>
    <row r="367" spans="1:12" ht="12.75" customHeight="1" x14ac:dyDescent="0.2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</row>
    <row r="368" spans="1:12" ht="12.75" customHeight="1" x14ac:dyDescent="0.2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</row>
    <row r="369" spans="1:12" ht="12.75" customHeight="1" x14ac:dyDescent="0.2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</row>
    <row r="370" spans="1:12" ht="12.75" customHeight="1" x14ac:dyDescent="0.2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</row>
    <row r="371" spans="1:12" ht="12.75" customHeight="1" x14ac:dyDescent="0.2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</row>
    <row r="372" spans="1:12" ht="12.75" customHeight="1" x14ac:dyDescent="0.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</row>
    <row r="373" spans="1:12" ht="12.75" customHeight="1" x14ac:dyDescent="0.2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</row>
    <row r="374" spans="1:12" ht="12.75" customHeight="1" x14ac:dyDescent="0.2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</row>
    <row r="375" spans="1:12" ht="12.75" customHeight="1" x14ac:dyDescent="0.2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</row>
    <row r="376" spans="1:12" ht="12.75" customHeight="1" x14ac:dyDescent="0.2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</row>
    <row r="377" spans="1:12" ht="12.75" customHeight="1" x14ac:dyDescent="0.2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</row>
    <row r="378" spans="1:12" ht="12.75" customHeight="1" x14ac:dyDescent="0.2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</row>
    <row r="379" spans="1:12" ht="12.75" customHeight="1" x14ac:dyDescent="0.2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</row>
    <row r="380" spans="1:12" ht="12.75" customHeight="1" x14ac:dyDescent="0.2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</row>
    <row r="381" spans="1:12" ht="12.75" customHeight="1" x14ac:dyDescent="0.2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</row>
    <row r="382" spans="1:12" ht="12.75" customHeight="1" x14ac:dyDescent="0.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</row>
    <row r="383" spans="1:12" ht="12.75" customHeight="1" x14ac:dyDescent="0.2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</row>
    <row r="384" spans="1:12" ht="12.75" customHeight="1" x14ac:dyDescent="0.2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</row>
    <row r="385" spans="1:12" ht="12.75" customHeight="1" x14ac:dyDescent="0.2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</row>
    <row r="386" spans="1:12" ht="12.75" customHeight="1" x14ac:dyDescent="0.2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</row>
    <row r="387" spans="1:12" ht="12.75" customHeight="1" x14ac:dyDescent="0.2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</row>
    <row r="388" spans="1:12" ht="12.75" customHeight="1" x14ac:dyDescent="0.2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</row>
    <row r="389" spans="1:12" ht="12.75" customHeight="1" x14ac:dyDescent="0.2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</row>
    <row r="390" spans="1:12" ht="12.75" customHeight="1" x14ac:dyDescent="0.2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</row>
    <row r="391" spans="1:12" ht="12.75" customHeight="1" x14ac:dyDescent="0.2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</row>
    <row r="392" spans="1:12" ht="12.75" customHeight="1" x14ac:dyDescent="0.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</row>
    <row r="393" spans="1:12" ht="12.75" customHeight="1" x14ac:dyDescent="0.2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</row>
    <row r="394" spans="1:12" ht="12.75" customHeight="1" x14ac:dyDescent="0.2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</row>
    <row r="395" spans="1:12" ht="12.75" customHeight="1" x14ac:dyDescent="0.2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</row>
    <row r="396" spans="1:12" ht="12.75" customHeight="1" x14ac:dyDescent="0.2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</row>
    <row r="397" spans="1:12" ht="12.75" customHeight="1" x14ac:dyDescent="0.2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</row>
    <row r="398" spans="1:12" ht="12.75" customHeight="1" x14ac:dyDescent="0.2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</row>
    <row r="399" spans="1:12" ht="12.75" customHeight="1" x14ac:dyDescent="0.2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</row>
    <row r="400" spans="1:12" ht="12.75" customHeight="1" x14ac:dyDescent="0.2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</row>
    <row r="401" spans="1:12" ht="12.75" customHeight="1" x14ac:dyDescent="0.2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</row>
    <row r="402" spans="1:12" ht="12.75" customHeight="1" x14ac:dyDescent="0.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</row>
    <row r="403" spans="1:12" ht="12.75" customHeight="1" x14ac:dyDescent="0.2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</row>
    <row r="404" spans="1:12" ht="12.75" customHeight="1" x14ac:dyDescent="0.2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</row>
    <row r="405" spans="1:12" ht="12.75" customHeight="1" x14ac:dyDescent="0.2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</row>
    <row r="406" spans="1:12" ht="12.75" customHeight="1" x14ac:dyDescent="0.2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</row>
    <row r="407" spans="1:12" ht="12.75" customHeight="1" x14ac:dyDescent="0.2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</row>
    <row r="408" spans="1:12" ht="12.75" customHeight="1" x14ac:dyDescent="0.2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</row>
    <row r="409" spans="1:12" ht="12.75" customHeight="1" x14ac:dyDescent="0.2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</row>
    <row r="410" spans="1:12" ht="12.75" customHeight="1" x14ac:dyDescent="0.2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</row>
    <row r="411" spans="1:12" ht="12.75" customHeight="1" x14ac:dyDescent="0.2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</row>
    <row r="412" spans="1:12" ht="12.75" customHeight="1" x14ac:dyDescent="0.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</row>
    <row r="413" spans="1:12" ht="12.75" customHeight="1" x14ac:dyDescent="0.2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</row>
    <row r="414" spans="1:12" ht="12.75" customHeight="1" x14ac:dyDescent="0.2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</row>
    <row r="415" spans="1:12" ht="12.75" customHeight="1" x14ac:dyDescent="0.2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</row>
    <row r="416" spans="1:12" ht="12.75" customHeight="1" x14ac:dyDescent="0.2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</row>
    <row r="417" spans="1:12" ht="12.75" customHeight="1" x14ac:dyDescent="0.2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</row>
    <row r="418" spans="1:12" ht="12.75" customHeight="1" x14ac:dyDescent="0.2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</row>
    <row r="419" spans="1:12" ht="12.75" customHeight="1" x14ac:dyDescent="0.2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</row>
    <row r="420" spans="1:12" ht="12.75" customHeight="1" x14ac:dyDescent="0.2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</row>
    <row r="421" spans="1:12" ht="12.75" customHeight="1" x14ac:dyDescent="0.2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</row>
    <row r="422" spans="1:12" ht="12.75" customHeight="1" x14ac:dyDescent="0.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</row>
    <row r="423" spans="1:12" ht="12.75" customHeight="1" x14ac:dyDescent="0.2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</row>
    <row r="424" spans="1:12" ht="12.75" customHeight="1" x14ac:dyDescent="0.2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</row>
    <row r="425" spans="1:12" ht="12.75" customHeight="1" x14ac:dyDescent="0.2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</row>
    <row r="426" spans="1:12" ht="12.75" customHeight="1" x14ac:dyDescent="0.2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</row>
    <row r="427" spans="1:12" ht="12.75" customHeight="1" x14ac:dyDescent="0.2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</row>
    <row r="428" spans="1:12" ht="12.75" customHeight="1" x14ac:dyDescent="0.2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</row>
    <row r="429" spans="1:12" ht="12.75" customHeight="1" x14ac:dyDescent="0.2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</row>
    <row r="430" spans="1:12" ht="12.75" customHeight="1" x14ac:dyDescent="0.2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</row>
    <row r="431" spans="1:12" ht="12.75" customHeight="1" x14ac:dyDescent="0.2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</row>
    <row r="432" spans="1:12" ht="12.75" customHeight="1" x14ac:dyDescent="0.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</row>
    <row r="433" spans="1:12" ht="12.75" customHeight="1" x14ac:dyDescent="0.2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</row>
    <row r="434" spans="1:12" ht="12.75" customHeight="1" x14ac:dyDescent="0.2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</row>
    <row r="435" spans="1:12" ht="12.75" customHeight="1" x14ac:dyDescent="0.2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</row>
    <row r="436" spans="1:12" ht="12.75" customHeight="1" x14ac:dyDescent="0.2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</row>
    <row r="437" spans="1:12" ht="12.75" customHeight="1" x14ac:dyDescent="0.2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</row>
    <row r="438" spans="1:12" ht="12.75" customHeight="1" x14ac:dyDescent="0.2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</row>
    <row r="439" spans="1:12" ht="12.75" customHeight="1" x14ac:dyDescent="0.2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</row>
    <row r="440" spans="1:12" ht="12.75" customHeight="1" x14ac:dyDescent="0.2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</row>
    <row r="441" spans="1:12" ht="12.75" customHeight="1" x14ac:dyDescent="0.2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</row>
    <row r="442" spans="1:12" ht="12.75" customHeight="1" x14ac:dyDescent="0.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</row>
    <row r="443" spans="1:12" ht="12.75" customHeight="1" x14ac:dyDescent="0.2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</row>
    <row r="444" spans="1:12" ht="12.75" customHeight="1" x14ac:dyDescent="0.2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</row>
    <row r="445" spans="1:12" ht="12.75" customHeight="1" x14ac:dyDescent="0.2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</row>
    <row r="446" spans="1:12" ht="12.75" customHeight="1" x14ac:dyDescent="0.2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</row>
    <row r="447" spans="1:12" ht="12.75" customHeight="1" x14ac:dyDescent="0.2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</row>
    <row r="448" spans="1:12" ht="12.75" customHeight="1" x14ac:dyDescent="0.2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</row>
    <row r="449" spans="1:12" ht="12.75" customHeight="1" x14ac:dyDescent="0.2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</row>
    <row r="450" spans="1:12" ht="12.75" customHeight="1" x14ac:dyDescent="0.2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</row>
    <row r="451" spans="1:12" ht="12.75" customHeight="1" x14ac:dyDescent="0.2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</row>
    <row r="452" spans="1:12" ht="12.75" customHeight="1" x14ac:dyDescent="0.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</row>
    <row r="453" spans="1:12" ht="12.75" customHeight="1" x14ac:dyDescent="0.2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</row>
    <row r="454" spans="1:12" ht="12.75" customHeight="1" x14ac:dyDescent="0.2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</row>
    <row r="455" spans="1:12" ht="12.75" customHeight="1" x14ac:dyDescent="0.2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</row>
    <row r="456" spans="1:12" ht="12.75" customHeight="1" x14ac:dyDescent="0.2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</row>
    <row r="457" spans="1:12" ht="12.75" customHeight="1" x14ac:dyDescent="0.2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</row>
    <row r="458" spans="1:12" ht="12.75" customHeight="1" x14ac:dyDescent="0.2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</row>
    <row r="459" spans="1:12" ht="12.75" customHeight="1" x14ac:dyDescent="0.2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</row>
    <row r="460" spans="1:12" ht="12.75" customHeight="1" x14ac:dyDescent="0.2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</row>
    <row r="461" spans="1:12" ht="12.75" customHeight="1" x14ac:dyDescent="0.2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</row>
    <row r="462" spans="1:12" ht="12.75" customHeight="1" x14ac:dyDescent="0.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</row>
    <row r="463" spans="1:12" ht="12.75" customHeight="1" x14ac:dyDescent="0.2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</row>
    <row r="464" spans="1:12" ht="12.75" customHeight="1" x14ac:dyDescent="0.2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</row>
    <row r="465" spans="1:12" ht="12.75" customHeight="1" x14ac:dyDescent="0.2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</row>
    <row r="466" spans="1:12" ht="12.75" customHeight="1" x14ac:dyDescent="0.2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</row>
    <row r="467" spans="1:12" ht="12.75" customHeight="1" x14ac:dyDescent="0.2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</row>
    <row r="468" spans="1:12" ht="12.75" customHeight="1" x14ac:dyDescent="0.2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</row>
    <row r="469" spans="1:12" ht="12.75" customHeight="1" x14ac:dyDescent="0.2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</row>
    <row r="470" spans="1:12" ht="12.75" customHeight="1" x14ac:dyDescent="0.2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</row>
    <row r="471" spans="1:12" ht="12.75" customHeight="1" x14ac:dyDescent="0.2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</row>
    <row r="472" spans="1:12" ht="12.75" customHeight="1" x14ac:dyDescent="0.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</row>
    <row r="473" spans="1:12" ht="12.75" customHeight="1" x14ac:dyDescent="0.2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</row>
    <row r="474" spans="1:12" ht="12.75" customHeight="1" x14ac:dyDescent="0.2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</row>
    <row r="475" spans="1:12" ht="12.75" customHeight="1" x14ac:dyDescent="0.2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</row>
    <row r="476" spans="1:12" ht="12.75" customHeight="1" x14ac:dyDescent="0.2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</row>
    <row r="477" spans="1:12" ht="12.75" customHeight="1" x14ac:dyDescent="0.2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</row>
    <row r="478" spans="1:12" ht="12.75" customHeight="1" x14ac:dyDescent="0.2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</row>
    <row r="479" spans="1:12" ht="12.75" customHeight="1" x14ac:dyDescent="0.2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</row>
    <row r="480" spans="1:12" ht="12.75" customHeight="1" x14ac:dyDescent="0.2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</row>
    <row r="481" spans="1:12" ht="12.75" customHeight="1" x14ac:dyDescent="0.2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</row>
    <row r="482" spans="1:12" ht="12.75" customHeight="1" x14ac:dyDescent="0.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</row>
    <row r="483" spans="1:12" ht="12.75" customHeight="1" x14ac:dyDescent="0.2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</row>
    <row r="484" spans="1:12" ht="12.75" customHeight="1" x14ac:dyDescent="0.2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</row>
    <row r="485" spans="1:12" ht="12.75" customHeight="1" x14ac:dyDescent="0.2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</row>
    <row r="486" spans="1:12" ht="12.75" customHeight="1" x14ac:dyDescent="0.2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</row>
    <row r="487" spans="1:12" ht="12.75" customHeight="1" x14ac:dyDescent="0.2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</row>
    <row r="488" spans="1:12" ht="12.75" customHeight="1" x14ac:dyDescent="0.2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</row>
    <row r="489" spans="1:12" ht="12.75" customHeight="1" x14ac:dyDescent="0.2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</row>
    <row r="490" spans="1:12" ht="12.75" customHeight="1" x14ac:dyDescent="0.2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</row>
    <row r="491" spans="1:12" ht="12.75" customHeight="1" x14ac:dyDescent="0.2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</row>
    <row r="492" spans="1:12" ht="12.75" customHeight="1" x14ac:dyDescent="0.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</row>
    <row r="493" spans="1:12" ht="12.75" customHeight="1" x14ac:dyDescent="0.2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</row>
    <row r="494" spans="1:12" ht="12.75" customHeight="1" x14ac:dyDescent="0.2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</row>
    <row r="495" spans="1:12" ht="12.75" customHeight="1" x14ac:dyDescent="0.2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</row>
    <row r="496" spans="1:12" ht="12.75" customHeight="1" x14ac:dyDescent="0.2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</row>
    <row r="497" spans="1:12" ht="12.75" customHeight="1" x14ac:dyDescent="0.2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</row>
    <row r="498" spans="1:12" ht="12.75" customHeight="1" x14ac:dyDescent="0.2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</row>
    <row r="499" spans="1:12" ht="12.75" customHeight="1" x14ac:dyDescent="0.2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</row>
    <row r="500" spans="1:12" ht="12.75" customHeight="1" x14ac:dyDescent="0.2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</row>
    <row r="501" spans="1:12" ht="12.75" customHeight="1" x14ac:dyDescent="0.2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</row>
    <row r="502" spans="1:12" ht="12.75" customHeight="1" x14ac:dyDescent="0.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</row>
    <row r="503" spans="1:12" ht="12.75" customHeight="1" x14ac:dyDescent="0.2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</row>
    <row r="504" spans="1:12" ht="12.75" customHeight="1" x14ac:dyDescent="0.2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</row>
    <row r="505" spans="1:12" ht="12.75" customHeight="1" x14ac:dyDescent="0.2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</row>
    <row r="506" spans="1:12" ht="12.75" customHeight="1" x14ac:dyDescent="0.2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</row>
    <row r="507" spans="1:12" ht="12.75" customHeight="1" x14ac:dyDescent="0.2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</row>
    <row r="508" spans="1:12" ht="12.75" customHeight="1" x14ac:dyDescent="0.2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</row>
    <row r="509" spans="1:12" ht="12.75" customHeight="1" x14ac:dyDescent="0.2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</row>
    <row r="510" spans="1:12" ht="12.75" customHeight="1" x14ac:dyDescent="0.2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</row>
    <row r="511" spans="1:12" ht="12.75" customHeight="1" x14ac:dyDescent="0.2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</row>
    <row r="512" spans="1:12" ht="12.75" customHeight="1" x14ac:dyDescent="0.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</row>
    <row r="513" spans="1:12" ht="12.75" customHeight="1" x14ac:dyDescent="0.2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</row>
    <row r="514" spans="1:12" ht="12.75" customHeight="1" x14ac:dyDescent="0.2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</row>
    <row r="515" spans="1:12" ht="12.75" customHeight="1" x14ac:dyDescent="0.2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</row>
    <row r="516" spans="1:12" ht="12.75" customHeight="1" x14ac:dyDescent="0.2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</row>
    <row r="517" spans="1:12" ht="12.75" customHeight="1" x14ac:dyDescent="0.2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</row>
    <row r="518" spans="1:12" ht="12.75" customHeight="1" x14ac:dyDescent="0.2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</row>
    <row r="519" spans="1:12" ht="12.75" customHeight="1" x14ac:dyDescent="0.2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</row>
    <row r="520" spans="1:12" ht="12.75" customHeight="1" x14ac:dyDescent="0.2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</row>
    <row r="521" spans="1:12" ht="12.75" customHeight="1" x14ac:dyDescent="0.2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</row>
    <row r="522" spans="1:12" ht="12.75" customHeight="1" x14ac:dyDescent="0.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</row>
    <row r="523" spans="1:12" ht="12.75" customHeight="1" x14ac:dyDescent="0.2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</row>
    <row r="524" spans="1:12" ht="12.75" customHeight="1" x14ac:dyDescent="0.2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</row>
    <row r="525" spans="1:12" ht="12.75" customHeight="1" x14ac:dyDescent="0.2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</row>
    <row r="526" spans="1:12" ht="12.75" customHeight="1" x14ac:dyDescent="0.2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</row>
    <row r="527" spans="1:12" ht="12.75" customHeight="1" x14ac:dyDescent="0.2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</row>
    <row r="528" spans="1:12" ht="12.75" customHeight="1" x14ac:dyDescent="0.2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</row>
    <row r="529" spans="1:12" ht="12.75" customHeight="1" x14ac:dyDescent="0.2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</row>
    <row r="530" spans="1:12" ht="12.75" customHeight="1" x14ac:dyDescent="0.2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</row>
    <row r="531" spans="1:12" ht="12.75" customHeight="1" x14ac:dyDescent="0.2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</row>
    <row r="532" spans="1:12" ht="12.75" customHeight="1" x14ac:dyDescent="0.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</row>
    <row r="533" spans="1:12" ht="12.75" customHeight="1" x14ac:dyDescent="0.2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</row>
    <row r="534" spans="1:12" ht="12.75" customHeight="1" x14ac:dyDescent="0.2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</row>
    <row r="535" spans="1:12" ht="12.75" customHeight="1" x14ac:dyDescent="0.2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</row>
    <row r="536" spans="1:12" ht="12.75" customHeight="1" x14ac:dyDescent="0.2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</row>
    <row r="537" spans="1:12" ht="12.75" customHeight="1" x14ac:dyDescent="0.2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</row>
    <row r="538" spans="1:12" ht="12.75" customHeight="1" x14ac:dyDescent="0.2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</row>
    <row r="539" spans="1:12" ht="12.75" customHeight="1" x14ac:dyDescent="0.2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</row>
    <row r="540" spans="1:12" ht="12.75" customHeight="1" x14ac:dyDescent="0.2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</row>
    <row r="541" spans="1:12" ht="12.75" customHeight="1" x14ac:dyDescent="0.2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</row>
    <row r="542" spans="1:12" ht="12.75" customHeight="1" x14ac:dyDescent="0.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</row>
    <row r="543" spans="1:12" ht="12.75" customHeight="1" x14ac:dyDescent="0.2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</row>
    <row r="544" spans="1:12" ht="12.75" customHeight="1" x14ac:dyDescent="0.2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</row>
    <row r="545" spans="1:12" ht="12.75" customHeight="1" x14ac:dyDescent="0.2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</row>
    <row r="546" spans="1:12" ht="12.75" customHeight="1" x14ac:dyDescent="0.2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</row>
    <row r="547" spans="1:12" ht="12.75" customHeight="1" x14ac:dyDescent="0.2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</row>
    <row r="548" spans="1:12" ht="12.75" customHeight="1" x14ac:dyDescent="0.2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</row>
    <row r="549" spans="1:12" ht="12.75" customHeight="1" x14ac:dyDescent="0.2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</row>
    <row r="550" spans="1:12" ht="12.75" customHeight="1" x14ac:dyDescent="0.2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</row>
    <row r="551" spans="1:12" ht="12.75" customHeight="1" x14ac:dyDescent="0.2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</row>
    <row r="552" spans="1:12" ht="12.75" customHeight="1" x14ac:dyDescent="0.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</row>
    <row r="553" spans="1:12" ht="12.75" customHeight="1" x14ac:dyDescent="0.2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</row>
    <row r="554" spans="1:12" ht="12.75" customHeight="1" x14ac:dyDescent="0.2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</row>
    <row r="555" spans="1:12" ht="12.75" customHeight="1" x14ac:dyDescent="0.2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</row>
    <row r="556" spans="1:12" ht="12.75" customHeight="1" x14ac:dyDescent="0.2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</row>
    <row r="557" spans="1:12" ht="12.75" customHeight="1" x14ac:dyDescent="0.2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</row>
    <row r="558" spans="1:12" ht="12.75" customHeight="1" x14ac:dyDescent="0.2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</row>
    <row r="559" spans="1:12" ht="12.75" customHeight="1" x14ac:dyDescent="0.2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</row>
    <row r="560" spans="1:12" ht="12.75" customHeight="1" x14ac:dyDescent="0.2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</row>
    <row r="561" spans="1:12" ht="12.75" customHeight="1" x14ac:dyDescent="0.2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</row>
    <row r="562" spans="1:12" ht="12.75" customHeight="1" x14ac:dyDescent="0.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</row>
    <row r="563" spans="1:12" ht="12.75" customHeight="1" x14ac:dyDescent="0.2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</row>
    <row r="564" spans="1:12" ht="12.75" customHeight="1" x14ac:dyDescent="0.2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</row>
    <row r="565" spans="1:12" ht="12.75" customHeight="1" x14ac:dyDescent="0.2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</row>
    <row r="566" spans="1:12" ht="12.75" customHeight="1" x14ac:dyDescent="0.2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</row>
    <row r="567" spans="1:12" ht="12.75" customHeight="1" x14ac:dyDescent="0.2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</row>
    <row r="568" spans="1:12" ht="12.75" customHeight="1" x14ac:dyDescent="0.2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</row>
    <row r="569" spans="1:12" ht="12.75" customHeight="1" x14ac:dyDescent="0.2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</row>
    <row r="570" spans="1:12" ht="12.75" customHeight="1" x14ac:dyDescent="0.2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</row>
    <row r="571" spans="1:12" ht="12.75" customHeight="1" x14ac:dyDescent="0.2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</row>
    <row r="572" spans="1:12" ht="12.75" customHeight="1" x14ac:dyDescent="0.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</row>
    <row r="573" spans="1:12" ht="12.75" customHeight="1" x14ac:dyDescent="0.2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</row>
    <row r="574" spans="1:12" ht="12.75" customHeight="1" x14ac:dyDescent="0.2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</row>
    <row r="575" spans="1:12" ht="12.75" customHeight="1" x14ac:dyDescent="0.2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</row>
    <row r="576" spans="1:12" ht="12.75" customHeight="1" x14ac:dyDescent="0.2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</row>
    <row r="577" spans="1:12" ht="12.75" customHeight="1" x14ac:dyDescent="0.2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</row>
    <row r="578" spans="1:12" ht="12.75" customHeight="1" x14ac:dyDescent="0.2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</row>
    <row r="579" spans="1:12" ht="12.75" customHeight="1" x14ac:dyDescent="0.2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</row>
    <row r="580" spans="1:12" ht="12.75" customHeight="1" x14ac:dyDescent="0.2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</row>
    <row r="581" spans="1:12" ht="12.75" customHeight="1" x14ac:dyDescent="0.2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</row>
    <row r="582" spans="1:12" ht="12.75" customHeight="1" x14ac:dyDescent="0.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</row>
    <row r="583" spans="1:12" ht="12.75" customHeight="1" x14ac:dyDescent="0.2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</row>
    <row r="584" spans="1:12" ht="12.75" customHeight="1" x14ac:dyDescent="0.2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</row>
    <row r="585" spans="1:12" ht="12.75" customHeight="1" x14ac:dyDescent="0.2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</row>
    <row r="586" spans="1:12" ht="12.75" customHeight="1" x14ac:dyDescent="0.2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</row>
    <row r="587" spans="1:12" ht="12.75" customHeight="1" x14ac:dyDescent="0.2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</row>
    <row r="588" spans="1:12" ht="12.75" customHeight="1" x14ac:dyDescent="0.2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</row>
    <row r="589" spans="1:12" ht="12.75" customHeight="1" x14ac:dyDescent="0.2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</row>
    <row r="590" spans="1:12" ht="12.75" customHeight="1" x14ac:dyDescent="0.2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</row>
    <row r="591" spans="1:12" ht="12.75" customHeight="1" x14ac:dyDescent="0.2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</row>
    <row r="592" spans="1:12" ht="12.75" customHeight="1" x14ac:dyDescent="0.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</row>
    <row r="593" spans="1:12" ht="12.75" customHeight="1" x14ac:dyDescent="0.2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</row>
    <row r="594" spans="1:12" ht="12.75" customHeight="1" x14ac:dyDescent="0.2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</row>
    <row r="595" spans="1:12" ht="12.75" customHeight="1" x14ac:dyDescent="0.2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</row>
    <row r="596" spans="1:12" ht="12.75" customHeight="1" x14ac:dyDescent="0.2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</row>
    <row r="597" spans="1:12" ht="12.75" customHeight="1" x14ac:dyDescent="0.2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</row>
    <row r="598" spans="1:12" ht="12.75" customHeight="1" x14ac:dyDescent="0.2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</row>
    <row r="599" spans="1:12" ht="12.75" customHeight="1" x14ac:dyDescent="0.2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</row>
    <row r="600" spans="1:12" ht="12.75" customHeight="1" x14ac:dyDescent="0.2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</row>
    <row r="601" spans="1:12" ht="12.75" customHeight="1" x14ac:dyDescent="0.2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</row>
    <row r="602" spans="1:12" ht="12.75" customHeight="1" x14ac:dyDescent="0.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</row>
    <row r="603" spans="1:12" ht="12.75" customHeight="1" x14ac:dyDescent="0.2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</row>
    <row r="604" spans="1:12" ht="12.75" customHeight="1" x14ac:dyDescent="0.2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</row>
    <row r="605" spans="1:12" ht="12.75" customHeight="1" x14ac:dyDescent="0.2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</row>
    <row r="606" spans="1:12" ht="12.75" customHeight="1" x14ac:dyDescent="0.2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</row>
    <row r="607" spans="1:12" ht="12.75" customHeight="1" x14ac:dyDescent="0.2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</row>
    <row r="608" spans="1:12" ht="12.75" customHeight="1" x14ac:dyDescent="0.2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</row>
    <row r="609" spans="1:12" ht="12.75" customHeight="1" x14ac:dyDescent="0.2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</row>
    <row r="610" spans="1:12" ht="12.75" customHeight="1" x14ac:dyDescent="0.2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</row>
    <row r="611" spans="1:12" ht="12.75" customHeight="1" x14ac:dyDescent="0.2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</row>
    <row r="612" spans="1:12" ht="12.75" customHeight="1" x14ac:dyDescent="0.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</row>
    <row r="613" spans="1:12" ht="12.75" customHeight="1" x14ac:dyDescent="0.2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</row>
    <row r="614" spans="1:12" ht="12.75" customHeight="1" x14ac:dyDescent="0.2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</row>
    <row r="615" spans="1:12" ht="12.75" customHeight="1" x14ac:dyDescent="0.2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</row>
    <row r="616" spans="1:12" ht="12.75" customHeight="1" x14ac:dyDescent="0.2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</row>
    <row r="617" spans="1:12" ht="12.75" customHeight="1" x14ac:dyDescent="0.2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</row>
    <row r="618" spans="1:12" ht="12.75" customHeight="1" x14ac:dyDescent="0.2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</row>
    <row r="619" spans="1:12" ht="12.75" customHeight="1" x14ac:dyDescent="0.2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</row>
    <row r="620" spans="1:12" ht="12.75" customHeight="1" x14ac:dyDescent="0.2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</row>
    <row r="621" spans="1:12" ht="12.75" customHeight="1" x14ac:dyDescent="0.2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</row>
    <row r="622" spans="1:12" ht="12.75" customHeight="1" x14ac:dyDescent="0.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</row>
    <row r="623" spans="1:12" ht="12.75" customHeight="1" x14ac:dyDescent="0.2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</row>
    <row r="624" spans="1:12" ht="12.75" customHeight="1" x14ac:dyDescent="0.2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</row>
    <row r="625" spans="1:12" ht="12.75" customHeight="1" x14ac:dyDescent="0.2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</row>
    <row r="626" spans="1:12" ht="12.75" customHeight="1" x14ac:dyDescent="0.2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</row>
    <row r="627" spans="1:12" ht="12.75" customHeight="1" x14ac:dyDescent="0.2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</row>
    <row r="628" spans="1:12" ht="12.75" customHeight="1" x14ac:dyDescent="0.2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</row>
    <row r="629" spans="1:12" ht="12.75" customHeight="1" x14ac:dyDescent="0.2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</row>
    <row r="630" spans="1:12" ht="12.75" customHeight="1" x14ac:dyDescent="0.2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</row>
    <row r="631" spans="1:12" ht="12.75" customHeight="1" x14ac:dyDescent="0.2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</row>
    <row r="632" spans="1:12" ht="12.75" customHeight="1" x14ac:dyDescent="0.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</row>
    <row r="633" spans="1:12" ht="12.75" customHeight="1" x14ac:dyDescent="0.2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</row>
    <row r="634" spans="1:12" ht="12.75" customHeight="1" x14ac:dyDescent="0.2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</row>
    <row r="635" spans="1:12" ht="12.75" customHeight="1" x14ac:dyDescent="0.2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</row>
    <row r="636" spans="1:12" ht="12.75" customHeight="1" x14ac:dyDescent="0.2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</row>
    <row r="637" spans="1:12" ht="12.75" customHeight="1" x14ac:dyDescent="0.2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</row>
    <row r="638" spans="1:12" ht="12.75" customHeight="1" x14ac:dyDescent="0.2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</row>
    <row r="639" spans="1:12" ht="12.75" customHeight="1" x14ac:dyDescent="0.2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</row>
    <row r="640" spans="1:12" ht="12.75" customHeight="1" x14ac:dyDescent="0.2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</row>
    <row r="641" spans="1:12" ht="12.75" customHeight="1" x14ac:dyDescent="0.2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</row>
    <row r="642" spans="1:12" ht="12.75" customHeight="1" x14ac:dyDescent="0.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</row>
    <row r="643" spans="1:12" ht="12.75" customHeight="1" x14ac:dyDescent="0.2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</row>
    <row r="644" spans="1:12" ht="12.75" customHeight="1" x14ac:dyDescent="0.2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</row>
    <row r="645" spans="1:12" ht="12.75" customHeight="1" x14ac:dyDescent="0.2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</row>
    <row r="646" spans="1:12" ht="12.75" customHeight="1" x14ac:dyDescent="0.2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</row>
    <row r="647" spans="1:12" ht="12.75" customHeight="1" x14ac:dyDescent="0.2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</row>
    <row r="648" spans="1:12" ht="12.75" customHeight="1" x14ac:dyDescent="0.2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</row>
    <row r="649" spans="1:12" ht="12.75" customHeight="1" x14ac:dyDescent="0.2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</row>
    <row r="650" spans="1:12" ht="12.75" customHeight="1" x14ac:dyDescent="0.2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</row>
    <row r="651" spans="1:12" ht="12.75" customHeight="1" x14ac:dyDescent="0.2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</row>
    <row r="652" spans="1:12" ht="12.75" customHeight="1" x14ac:dyDescent="0.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</row>
    <row r="653" spans="1:12" ht="12.75" customHeight="1" x14ac:dyDescent="0.2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</row>
    <row r="654" spans="1:12" ht="12.75" customHeight="1" x14ac:dyDescent="0.2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</row>
    <row r="655" spans="1:12" ht="12.75" customHeight="1" x14ac:dyDescent="0.2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</row>
    <row r="656" spans="1:12" ht="12.75" customHeight="1" x14ac:dyDescent="0.2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</row>
    <row r="657" spans="1:12" ht="12.75" customHeight="1" x14ac:dyDescent="0.2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</row>
    <row r="658" spans="1:12" ht="12.75" customHeight="1" x14ac:dyDescent="0.2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</row>
    <row r="659" spans="1:12" ht="12.75" customHeight="1" x14ac:dyDescent="0.2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</row>
    <row r="660" spans="1:12" ht="12.75" customHeight="1" x14ac:dyDescent="0.2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</row>
    <row r="661" spans="1:12" ht="12.75" customHeight="1" x14ac:dyDescent="0.2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</row>
    <row r="662" spans="1:12" ht="12.75" customHeight="1" x14ac:dyDescent="0.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</row>
    <row r="663" spans="1:12" ht="12.75" customHeight="1" x14ac:dyDescent="0.2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</row>
    <row r="664" spans="1:12" ht="12.75" customHeight="1" x14ac:dyDescent="0.2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</row>
    <row r="665" spans="1:12" ht="12.75" customHeight="1" x14ac:dyDescent="0.2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</row>
    <row r="666" spans="1:12" ht="12.75" customHeight="1" x14ac:dyDescent="0.2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</row>
    <row r="667" spans="1:12" ht="12.75" customHeight="1" x14ac:dyDescent="0.2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</row>
    <row r="668" spans="1:12" ht="12.75" customHeight="1" x14ac:dyDescent="0.2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</row>
    <row r="669" spans="1:12" ht="12.75" customHeight="1" x14ac:dyDescent="0.2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</row>
    <row r="670" spans="1:12" ht="12.75" customHeight="1" x14ac:dyDescent="0.2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</row>
    <row r="671" spans="1:12" ht="12.75" customHeight="1" x14ac:dyDescent="0.2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</row>
    <row r="672" spans="1:12" ht="12.75" customHeight="1" x14ac:dyDescent="0.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</row>
    <row r="673" spans="1:12" ht="12.75" customHeight="1" x14ac:dyDescent="0.2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</row>
    <row r="674" spans="1:12" ht="12.75" customHeight="1" x14ac:dyDescent="0.2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</row>
    <row r="675" spans="1:12" ht="12.75" customHeight="1" x14ac:dyDescent="0.2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</row>
    <row r="676" spans="1:12" ht="12.75" customHeight="1" x14ac:dyDescent="0.2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</row>
    <row r="677" spans="1:12" ht="12.75" customHeight="1" x14ac:dyDescent="0.2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</row>
    <row r="678" spans="1:12" ht="12.75" customHeight="1" x14ac:dyDescent="0.2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</row>
    <row r="679" spans="1:12" ht="12.75" customHeight="1" x14ac:dyDescent="0.2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</row>
    <row r="680" spans="1:12" ht="12.75" customHeight="1" x14ac:dyDescent="0.2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</row>
    <row r="681" spans="1:12" ht="12.75" customHeight="1" x14ac:dyDescent="0.2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</row>
    <row r="682" spans="1:12" ht="12.75" customHeight="1" x14ac:dyDescent="0.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</row>
    <row r="683" spans="1:12" ht="12.75" customHeight="1" x14ac:dyDescent="0.2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</row>
    <row r="684" spans="1:12" ht="12.75" customHeight="1" x14ac:dyDescent="0.2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</row>
    <row r="685" spans="1:12" ht="12.75" customHeight="1" x14ac:dyDescent="0.2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</row>
    <row r="686" spans="1:12" ht="12.75" customHeight="1" x14ac:dyDescent="0.2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</row>
    <row r="687" spans="1:12" ht="12.75" customHeight="1" x14ac:dyDescent="0.2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</row>
    <row r="688" spans="1:12" ht="12.75" customHeight="1" x14ac:dyDescent="0.2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</row>
    <row r="689" spans="1:12" ht="12.75" customHeight="1" x14ac:dyDescent="0.2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</row>
    <row r="690" spans="1:12" ht="12.75" customHeight="1" x14ac:dyDescent="0.2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</row>
    <row r="691" spans="1:12" ht="12.75" customHeight="1" x14ac:dyDescent="0.2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</row>
    <row r="692" spans="1:12" ht="12.75" customHeight="1" x14ac:dyDescent="0.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</row>
    <row r="693" spans="1:12" ht="12.75" customHeight="1" x14ac:dyDescent="0.2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</row>
    <row r="694" spans="1:12" ht="12.75" customHeight="1" x14ac:dyDescent="0.2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</row>
    <row r="695" spans="1:12" ht="12.75" customHeight="1" x14ac:dyDescent="0.2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</row>
    <row r="696" spans="1:12" ht="12.75" customHeight="1" x14ac:dyDescent="0.2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</row>
    <row r="697" spans="1:12" ht="12.75" customHeight="1" x14ac:dyDescent="0.2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</row>
    <row r="698" spans="1:12" ht="12.75" customHeight="1" x14ac:dyDescent="0.2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</row>
    <row r="699" spans="1:12" ht="12.75" customHeight="1" x14ac:dyDescent="0.2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</row>
    <row r="700" spans="1:12" ht="12.75" customHeight="1" x14ac:dyDescent="0.2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</row>
    <row r="701" spans="1:12" ht="12.75" customHeight="1" x14ac:dyDescent="0.2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</row>
    <row r="702" spans="1:12" ht="12.75" customHeight="1" x14ac:dyDescent="0.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</row>
    <row r="703" spans="1:12" ht="12.75" customHeight="1" x14ac:dyDescent="0.2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</row>
    <row r="704" spans="1:12" ht="12.75" customHeight="1" x14ac:dyDescent="0.2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</row>
    <row r="705" spans="1:12" ht="12.75" customHeight="1" x14ac:dyDescent="0.2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</row>
    <row r="706" spans="1:12" ht="12.75" customHeight="1" x14ac:dyDescent="0.2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</row>
    <row r="707" spans="1:12" ht="12.75" customHeight="1" x14ac:dyDescent="0.2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</row>
    <row r="708" spans="1:12" ht="12.75" customHeight="1" x14ac:dyDescent="0.2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</row>
    <row r="709" spans="1:12" ht="12.75" customHeight="1" x14ac:dyDescent="0.2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</row>
    <row r="710" spans="1:12" ht="12.75" customHeight="1" x14ac:dyDescent="0.2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</row>
    <row r="711" spans="1:12" ht="12.75" customHeight="1" x14ac:dyDescent="0.2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</row>
    <row r="712" spans="1:12" ht="12.75" customHeight="1" x14ac:dyDescent="0.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</row>
    <row r="713" spans="1:12" ht="12.75" customHeight="1" x14ac:dyDescent="0.2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</row>
    <row r="714" spans="1:12" ht="12.75" customHeight="1" x14ac:dyDescent="0.2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</row>
    <row r="715" spans="1:12" ht="12.75" customHeight="1" x14ac:dyDescent="0.2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</row>
    <row r="716" spans="1:12" ht="12.75" customHeight="1" x14ac:dyDescent="0.2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</row>
    <row r="717" spans="1:12" ht="12.75" customHeight="1" x14ac:dyDescent="0.2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</row>
    <row r="718" spans="1:12" ht="12.75" customHeight="1" x14ac:dyDescent="0.2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</row>
    <row r="719" spans="1:12" ht="12.75" customHeight="1" x14ac:dyDescent="0.2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</row>
    <row r="720" spans="1:12" ht="12.75" customHeight="1" x14ac:dyDescent="0.2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</row>
    <row r="721" spans="1:12" ht="12.75" customHeight="1" x14ac:dyDescent="0.2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</row>
    <row r="722" spans="1:12" ht="12.75" customHeight="1" x14ac:dyDescent="0.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</row>
    <row r="723" spans="1:12" ht="12.75" customHeight="1" x14ac:dyDescent="0.2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</row>
    <row r="724" spans="1:12" ht="12.75" customHeight="1" x14ac:dyDescent="0.2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</row>
    <row r="725" spans="1:12" ht="12.75" customHeight="1" x14ac:dyDescent="0.2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</row>
    <row r="726" spans="1:12" ht="12.75" customHeight="1" x14ac:dyDescent="0.2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</row>
    <row r="727" spans="1:12" ht="12.75" customHeight="1" x14ac:dyDescent="0.2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</row>
    <row r="728" spans="1:12" ht="12.75" customHeight="1" x14ac:dyDescent="0.2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</row>
    <row r="729" spans="1:12" ht="12.75" customHeight="1" x14ac:dyDescent="0.2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</row>
    <row r="730" spans="1:12" ht="12.75" customHeight="1" x14ac:dyDescent="0.2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</row>
    <row r="731" spans="1:12" ht="12.75" customHeight="1" x14ac:dyDescent="0.2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</row>
    <row r="732" spans="1:12" ht="12.75" customHeight="1" x14ac:dyDescent="0.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</row>
    <row r="733" spans="1:12" ht="12.75" customHeight="1" x14ac:dyDescent="0.2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</row>
    <row r="734" spans="1:12" ht="12.75" customHeight="1" x14ac:dyDescent="0.2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</row>
    <row r="735" spans="1:12" ht="12.75" customHeight="1" x14ac:dyDescent="0.2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</row>
    <row r="736" spans="1:12" ht="12.75" customHeight="1" x14ac:dyDescent="0.2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</row>
    <row r="737" spans="1:12" ht="12.75" customHeight="1" x14ac:dyDescent="0.2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</row>
    <row r="738" spans="1:12" ht="12.75" customHeight="1" x14ac:dyDescent="0.2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</row>
    <row r="739" spans="1:12" ht="12.75" customHeight="1" x14ac:dyDescent="0.2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</row>
    <row r="740" spans="1:12" ht="12.75" customHeight="1" x14ac:dyDescent="0.2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</row>
    <row r="741" spans="1:12" ht="12.75" customHeight="1" x14ac:dyDescent="0.2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</row>
    <row r="742" spans="1:12" ht="12.75" customHeight="1" x14ac:dyDescent="0.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</row>
    <row r="743" spans="1:12" ht="12.75" customHeight="1" x14ac:dyDescent="0.2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</row>
    <row r="744" spans="1:12" ht="12.75" customHeight="1" x14ac:dyDescent="0.2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</row>
    <row r="745" spans="1:12" ht="12.75" customHeight="1" x14ac:dyDescent="0.2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</row>
    <row r="746" spans="1:12" ht="12.75" customHeight="1" x14ac:dyDescent="0.2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</row>
    <row r="747" spans="1:12" ht="12.75" customHeight="1" x14ac:dyDescent="0.2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</row>
    <row r="748" spans="1:12" ht="12.75" customHeight="1" x14ac:dyDescent="0.2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</row>
    <row r="749" spans="1:12" ht="12.75" customHeight="1" x14ac:dyDescent="0.2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</row>
    <row r="750" spans="1:12" ht="12.75" customHeight="1" x14ac:dyDescent="0.2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</row>
    <row r="751" spans="1:12" ht="12.75" customHeight="1" x14ac:dyDescent="0.2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</row>
    <row r="752" spans="1:12" ht="12.75" customHeight="1" x14ac:dyDescent="0.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</row>
    <row r="753" spans="1:12" ht="12.75" customHeight="1" x14ac:dyDescent="0.2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</row>
    <row r="754" spans="1:12" ht="12.75" customHeight="1" x14ac:dyDescent="0.2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</row>
    <row r="755" spans="1:12" ht="12.75" customHeight="1" x14ac:dyDescent="0.2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</row>
    <row r="756" spans="1:12" ht="12.75" customHeight="1" x14ac:dyDescent="0.2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</row>
    <row r="757" spans="1:12" ht="12.75" customHeight="1" x14ac:dyDescent="0.2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</row>
    <row r="758" spans="1:12" ht="12.75" customHeight="1" x14ac:dyDescent="0.2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</row>
    <row r="759" spans="1:12" ht="12.75" customHeight="1" x14ac:dyDescent="0.2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</row>
    <row r="760" spans="1:12" ht="12.75" customHeight="1" x14ac:dyDescent="0.2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</row>
    <row r="761" spans="1:12" ht="12.75" customHeight="1" x14ac:dyDescent="0.2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</row>
    <row r="762" spans="1:12" ht="12.75" customHeight="1" x14ac:dyDescent="0.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</row>
    <row r="763" spans="1:12" ht="12.75" customHeight="1" x14ac:dyDescent="0.2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</row>
    <row r="764" spans="1:12" ht="12.75" customHeight="1" x14ac:dyDescent="0.2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</row>
    <row r="765" spans="1:12" ht="12.75" customHeight="1" x14ac:dyDescent="0.2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</row>
    <row r="766" spans="1:12" ht="12.75" customHeight="1" x14ac:dyDescent="0.2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</row>
    <row r="767" spans="1:12" ht="12.75" customHeight="1" x14ac:dyDescent="0.2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</row>
    <row r="768" spans="1:12" ht="12.75" customHeight="1" x14ac:dyDescent="0.2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</row>
    <row r="769" spans="1:12" ht="12.75" customHeight="1" x14ac:dyDescent="0.2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</row>
    <row r="770" spans="1:12" ht="12.75" customHeight="1" x14ac:dyDescent="0.2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</row>
    <row r="771" spans="1:12" ht="12.75" customHeight="1" x14ac:dyDescent="0.2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</row>
    <row r="772" spans="1:12" ht="12.75" customHeight="1" x14ac:dyDescent="0.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</row>
    <row r="773" spans="1:12" ht="12.75" customHeight="1" x14ac:dyDescent="0.2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</row>
    <row r="774" spans="1:12" ht="12.75" customHeight="1" x14ac:dyDescent="0.2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</row>
    <row r="775" spans="1:12" ht="12.75" customHeight="1" x14ac:dyDescent="0.2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</row>
    <row r="776" spans="1:12" ht="12.75" customHeight="1" x14ac:dyDescent="0.2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</row>
    <row r="777" spans="1:12" ht="12.75" customHeight="1" x14ac:dyDescent="0.2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</row>
    <row r="778" spans="1:12" ht="12.75" customHeight="1" x14ac:dyDescent="0.2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</row>
    <row r="779" spans="1:12" ht="12.75" customHeight="1" x14ac:dyDescent="0.2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</row>
    <row r="780" spans="1:12" ht="12.75" customHeight="1" x14ac:dyDescent="0.2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</row>
    <row r="781" spans="1:12" ht="12.75" customHeight="1" x14ac:dyDescent="0.2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</row>
    <row r="782" spans="1:12" ht="12.75" customHeight="1" x14ac:dyDescent="0.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</row>
    <row r="783" spans="1:12" ht="12.75" customHeight="1" x14ac:dyDescent="0.2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</row>
    <row r="784" spans="1:12" ht="12.75" customHeight="1" x14ac:dyDescent="0.2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</row>
    <row r="785" spans="1:12" ht="12.75" customHeight="1" x14ac:dyDescent="0.2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</row>
    <row r="786" spans="1:12" ht="12.75" customHeight="1" x14ac:dyDescent="0.2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</row>
    <row r="787" spans="1:12" ht="12.75" customHeight="1" x14ac:dyDescent="0.2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</row>
    <row r="788" spans="1:12" ht="12.75" customHeight="1" x14ac:dyDescent="0.2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</row>
    <row r="789" spans="1:12" ht="12.75" customHeight="1" x14ac:dyDescent="0.2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</row>
    <row r="790" spans="1:12" ht="12.75" customHeight="1" x14ac:dyDescent="0.2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</row>
    <row r="791" spans="1:12" ht="12.75" customHeight="1" x14ac:dyDescent="0.2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</row>
    <row r="792" spans="1:12" ht="12.75" customHeight="1" x14ac:dyDescent="0.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</row>
    <row r="793" spans="1:12" ht="12.75" customHeight="1" x14ac:dyDescent="0.2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</row>
    <row r="794" spans="1:12" ht="12.75" customHeight="1" x14ac:dyDescent="0.2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</row>
    <row r="795" spans="1:12" ht="12.75" customHeight="1" x14ac:dyDescent="0.2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</row>
    <row r="796" spans="1:12" ht="12.75" customHeight="1" x14ac:dyDescent="0.2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</row>
    <row r="797" spans="1:12" ht="12.75" customHeight="1" x14ac:dyDescent="0.2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</row>
    <row r="798" spans="1:12" ht="12.75" customHeight="1" x14ac:dyDescent="0.2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</row>
    <row r="799" spans="1:12" ht="12.75" customHeight="1" x14ac:dyDescent="0.2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</row>
    <row r="800" spans="1:12" ht="12.75" customHeight="1" x14ac:dyDescent="0.2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</row>
    <row r="801" spans="1:12" ht="12.75" customHeight="1" x14ac:dyDescent="0.2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</row>
    <row r="802" spans="1:12" ht="12.75" customHeight="1" x14ac:dyDescent="0.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</row>
    <row r="803" spans="1:12" ht="12.75" customHeight="1" x14ac:dyDescent="0.2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</row>
    <row r="804" spans="1:12" ht="12.75" customHeight="1" x14ac:dyDescent="0.2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</row>
    <row r="805" spans="1:12" ht="12.75" customHeight="1" x14ac:dyDescent="0.2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</row>
    <row r="806" spans="1:12" ht="12.75" customHeight="1" x14ac:dyDescent="0.2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</row>
    <row r="807" spans="1:12" ht="12.75" customHeight="1" x14ac:dyDescent="0.2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</row>
    <row r="808" spans="1:12" ht="12.75" customHeight="1" x14ac:dyDescent="0.2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</row>
    <row r="809" spans="1:12" ht="12.75" customHeight="1" x14ac:dyDescent="0.2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</row>
    <row r="810" spans="1:12" ht="12.75" customHeight="1" x14ac:dyDescent="0.2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</row>
    <row r="811" spans="1:12" ht="12.75" customHeight="1" x14ac:dyDescent="0.2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</row>
    <row r="812" spans="1:12" ht="12.75" customHeight="1" x14ac:dyDescent="0.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</row>
    <row r="813" spans="1:12" ht="12.75" customHeight="1" x14ac:dyDescent="0.2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</row>
    <row r="814" spans="1:12" ht="12.75" customHeight="1" x14ac:dyDescent="0.2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</row>
    <row r="815" spans="1:12" ht="12.75" customHeight="1" x14ac:dyDescent="0.2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</row>
    <row r="816" spans="1:12" ht="12.75" customHeight="1" x14ac:dyDescent="0.2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</row>
    <row r="817" spans="1:12" ht="12.75" customHeight="1" x14ac:dyDescent="0.2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</row>
    <row r="818" spans="1:12" ht="12.75" customHeight="1" x14ac:dyDescent="0.2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</row>
    <row r="819" spans="1:12" ht="12.75" customHeight="1" x14ac:dyDescent="0.2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</row>
    <row r="820" spans="1:12" ht="12.75" customHeight="1" x14ac:dyDescent="0.2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</row>
    <row r="821" spans="1:12" ht="12.75" customHeight="1" x14ac:dyDescent="0.2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</row>
    <row r="822" spans="1:12" ht="12.75" customHeight="1" x14ac:dyDescent="0.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</row>
    <row r="823" spans="1:12" ht="12.75" customHeight="1" x14ac:dyDescent="0.2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</row>
    <row r="824" spans="1:12" ht="12.75" customHeight="1" x14ac:dyDescent="0.2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</row>
    <row r="825" spans="1:12" ht="12.75" customHeight="1" x14ac:dyDescent="0.2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</row>
    <row r="826" spans="1:12" ht="12.75" customHeight="1" x14ac:dyDescent="0.2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</row>
    <row r="827" spans="1:12" ht="12.75" customHeight="1" x14ac:dyDescent="0.2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</row>
    <row r="828" spans="1:12" ht="12.75" customHeight="1" x14ac:dyDescent="0.2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</row>
    <row r="829" spans="1:12" ht="12.75" customHeight="1" x14ac:dyDescent="0.2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</row>
    <row r="830" spans="1:12" ht="12.75" customHeight="1" x14ac:dyDescent="0.2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</row>
    <row r="831" spans="1:12" ht="12.75" customHeight="1" x14ac:dyDescent="0.2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</row>
    <row r="832" spans="1:12" ht="12.75" customHeight="1" x14ac:dyDescent="0.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</row>
    <row r="833" spans="1:12" ht="12.75" customHeight="1" x14ac:dyDescent="0.2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</row>
    <row r="834" spans="1:12" ht="12.75" customHeight="1" x14ac:dyDescent="0.2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</row>
    <row r="835" spans="1:12" ht="12.75" customHeight="1" x14ac:dyDescent="0.2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</row>
    <row r="836" spans="1:12" ht="12.75" customHeight="1" x14ac:dyDescent="0.2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</row>
    <row r="837" spans="1:12" ht="12.75" customHeight="1" x14ac:dyDescent="0.2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</row>
    <row r="838" spans="1:12" ht="12.75" customHeight="1" x14ac:dyDescent="0.2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</row>
    <row r="839" spans="1:12" ht="12.75" customHeight="1" x14ac:dyDescent="0.2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</row>
    <row r="840" spans="1:12" ht="12.75" customHeight="1" x14ac:dyDescent="0.2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</row>
    <row r="841" spans="1:12" ht="12.75" customHeight="1" x14ac:dyDescent="0.2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</row>
    <row r="842" spans="1:12" ht="12.75" customHeight="1" x14ac:dyDescent="0.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</row>
    <row r="843" spans="1:12" ht="12.75" customHeight="1" x14ac:dyDescent="0.2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</row>
    <row r="844" spans="1:12" ht="12.75" customHeight="1" x14ac:dyDescent="0.2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</row>
    <row r="845" spans="1:12" ht="12.75" customHeight="1" x14ac:dyDescent="0.2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</row>
    <row r="846" spans="1:12" ht="12.75" customHeight="1" x14ac:dyDescent="0.2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</row>
    <row r="847" spans="1:12" ht="12.75" customHeight="1" x14ac:dyDescent="0.2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</row>
    <row r="848" spans="1:12" ht="12.75" customHeight="1" x14ac:dyDescent="0.2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</row>
    <row r="849" spans="1:12" ht="12.75" customHeight="1" x14ac:dyDescent="0.2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</row>
    <row r="850" spans="1:12" ht="12.75" customHeight="1" x14ac:dyDescent="0.2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</row>
    <row r="851" spans="1:12" ht="12.75" customHeight="1" x14ac:dyDescent="0.2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</row>
    <row r="852" spans="1:12" ht="12.75" customHeight="1" x14ac:dyDescent="0.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</row>
    <row r="853" spans="1:12" ht="12.75" customHeight="1" x14ac:dyDescent="0.2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</row>
    <row r="854" spans="1:12" ht="12.75" customHeight="1" x14ac:dyDescent="0.2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</row>
    <row r="855" spans="1:12" ht="12.75" customHeight="1" x14ac:dyDescent="0.2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</row>
    <row r="856" spans="1:12" ht="12.75" customHeight="1" x14ac:dyDescent="0.2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</row>
    <row r="857" spans="1:12" ht="12.75" customHeight="1" x14ac:dyDescent="0.2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</row>
    <row r="858" spans="1:12" ht="12.75" customHeight="1" x14ac:dyDescent="0.2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</row>
    <row r="859" spans="1:12" ht="12.75" customHeight="1" x14ac:dyDescent="0.2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</row>
    <row r="860" spans="1:12" ht="12.75" customHeight="1" x14ac:dyDescent="0.2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</row>
    <row r="861" spans="1:12" ht="12.75" customHeight="1" x14ac:dyDescent="0.2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</row>
    <row r="862" spans="1:12" ht="12.75" customHeight="1" x14ac:dyDescent="0.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</row>
    <row r="863" spans="1:12" ht="12.75" customHeight="1" x14ac:dyDescent="0.2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</row>
    <row r="864" spans="1:12" ht="12.75" customHeight="1" x14ac:dyDescent="0.2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</row>
    <row r="865" spans="1:12" ht="12.75" customHeight="1" x14ac:dyDescent="0.2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</row>
    <row r="866" spans="1:12" ht="12.75" customHeight="1" x14ac:dyDescent="0.2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</row>
    <row r="867" spans="1:12" ht="12.75" customHeight="1" x14ac:dyDescent="0.2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</row>
    <row r="868" spans="1:12" ht="12.75" customHeight="1" x14ac:dyDescent="0.2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</row>
    <row r="869" spans="1:12" ht="12.75" customHeight="1" x14ac:dyDescent="0.2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</row>
    <row r="870" spans="1:12" ht="12.75" customHeight="1" x14ac:dyDescent="0.2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</row>
    <row r="871" spans="1:12" ht="12.75" customHeight="1" x14ac:dyDescent="0.2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</row>
    <row r="872" spans="1:12" ht="12.75" customHeight="1" x14ac:dyDescent="0.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</row>
    <row r="873" spans="1:12" ht="12.75" customHeight="1" x14ac:dyDescent="0.2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</row>
    <row r="874" spans="1:12" ht="12.75" customHeight="1" x14ac:dyDescent="0.2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</row>
    <row r="875" spans="1:12" ht="12.75" customHeight="1" x14ac:dyDescent="0.2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</row>
    <row r="876" spans="1:12" ht="12.75" customHeight="1" x14ac:dyDescent="0.2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</row>
    <row r="877" spans="1:12" ht="12.75" customHeight="1" x14ac:dyDescent="0.2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</row>
    <row r="878" spans="1:12" ht="12.75" customHeight="1" x14ac:dyDescent="0.2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</row>
    <row r="879" spans="1:12" ht="12.75" customHeight="1" x14ac:dyDescent="0.2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</row>
    <row r="880" spans="1:12" ht="12.75" customHeight="1" x14ac:dyDescent="0.2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</row>
    <row r="881" spans="1:12" ht="12.75" customHeight="1" x14ac:dyDescent="0.2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</row>
    <row r="882" spans="1:12" ht="12.75" customHeight="1" x14ac:dyDescent="0.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</row>
    <row r="883" spans="1:12" ht="12.75" customHeight="1" x14ac:dyDescent="0.2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</row>
    <row r="884" spans="1:12" ht="12.75" customHeight="1" x14ac:dyDescent="0.2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</row>
    <row r="885" spans="1:12" ht="12.75" customHeight="1" x14ac:dyDescent="0.2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</row>
    <row r="886" spans="1:12" ht="12.75" customHeight="1" x14ac:dyDescent="0.2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</row>
    <row r="887" spans="1:12" ht="12.75" customHeight="1" x14ac:dyDescent="0.2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</row>
    <row r="888" spans="1:12" ht="12.75" customHeight="1" x14ac:dyDescent="0.2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</row>
    <row r="889" spans="1:12" ht="12.75" customHeight="1" x14ac:dyDescent="0.2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</row>
    <row r="890" spans="1:12" ht="12.75" customHeight="1" x14ac:dyDescent="0.2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</row>
    <row r="891" spans="1:12" ht="12.75" customHeight="1" x14ac:dyDescent="0.2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</row>
    <row r="892" spans="1:12" ht="12.75" customHeight="1" x14ac:dyDescent="0.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</row>
    <row r="893" spans="1:12" ht="12.75" customHeight="1" x14ac:dyDescent="0.2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</row>
    <row r="894" spans="1:12" ht="12.75" customHeight="1" x14ac:dyDescent="0.2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</row>
    <row r="895" spans="1:12" ht="12.75" customHeight="1" x14ac:dyDescent="0.2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</row>
    <row r="896" spans="1:12" ht="12.75" customHeight="1" x14ac:dyDescent="0.2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</row>
    <row r="897" spans="1:12" ht="12.75" customHeight="1" x14ac:dyDescent="0.2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</row>
    <row r="898" spans="1:12" ht="12.75" customHeight="1" x14ac:dyDescent="0.2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</row>
    <row r="899" spans="1:12" ht="12.75" customHeight="1" x14ac:dyDescent="0.2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</row>
    <row r="900" spans="1:12" ht="12.75" customHeight="1" x14ac:dyDescent="0.2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</row>
    <row r="901" spans="1:12" ht="12.75" customHeight="1" x14ac:dyDescent="0.2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</row>
    <row r="902" spans="1:12" ht="12.75" customHeight="1" x14ac:dyDescent="0.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</row>
    <row r="903" spans="1:12" ht="12.75" customHeight="1" x14ac:dyDescent="0.2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</row>
    <row r="904" spans="1:12" ht="12.75" customHeight="1" x14ac:dyDescent="0.2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</row>
    <row r="905" spans="1:12" ht="12.75" customHeight="1" x14ac:dyDescent="0.2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</row>
    <row r="906" spans="1:12" ht="12.75" customHeight="1" x14ac:dyDescent="0.2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</row>
    <row r="907" spans="1:12" ht="12.75" customHeight="1" x14ac:dyDescent="0.2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</row>
    <row r="908" spans="1:12" ht="12.75" customHeight="1" x14ac:dyDescent="0.2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</row>
    <row r="909" spans="1:12" ht="12.75" customHeight="1" x14ac:dyDescent="0.2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</row>
    <row r="910" spans="1:12" ht="12.75" customHeight="1" x14ac:dyDescent="0.2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</row>
    <row r="911" spans="1:12" ht="12.75" customHeight="1" x14ac:dyDescent="0.2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</row>
    <row r="912" spans="1:12" ht="12.75" customHeight="1" x14ac:dyDescent="0.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</row>
    <row r="913" spans="1:12" ht="12.75" customHeight="1" x14ac:dyDescent="0.2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</row>
    <row r="914" spans="1:12" ht="12.75" customHeight="1" x14ac:dyDescent="0.2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</row>
    <row r="915" spans="1:12" ht="12.75" customHeight="1" x14ac:dyDescent="0.2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</row>
    <row r="916" spans="1:12" ht="12.75" customHeight="1" x14ac:dyDescent="0.2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</row>
    <row r="917" spans="1:12" ht="12.75" customHeight="1" x14ac:dyDescent="0.2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</row>
    <row r="918" spans="1:12" ht="12.75" customHeight="1" x14ac:dyDescent="0.2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</row>
    <row r="919" spans="1:12" ht="12.75" customHeight="1" x14ac:dyDescent="0.2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</row>
    <row r="920" spans="1:12" ht="12.75" customHeight="1" x14ac:dyDescent="0.2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</row>
    <row r="921" spans="1:12" ht="12.75" customHeight="1" x14ac:dyDescent="0.2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</row>
    <row r="922" spans="1:12" ht="12.75" customHeight="1" x14ac:dyDescent="0.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</row>
    <row r="923" spans="1:12" ht="12.75" customHeight="1" x14ac:dyDescent="0.2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</row>
    <row r="924" spans="1:12" ht="12.75" customHeight="1" x14ac:dyDescent="0.2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</row>
    <row r="925" spans="1:12" ht="12.75" customHeight="1" x14ac:dyDescent="0.2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</row>
    <row r="926" spans="1:12" ht="12.75" customHeight="1" x14ac:dyDescent="0.2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</row>
    <row r="927" spans="1:12" ht="12.75" customHeight="1" x14ac:dyDescent="0.2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</row>
    <row r="928" spans="1:12" ht="12.75" customHeight="1" x14ac:dyDescent="0.2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</row>
    <row r="929" spans="1:12" ht="12.75" customHeight="1" x14ac:dyDescent="0.2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</row>
    <row r="930" spans="1:12" ht="12.75" customHeight="1" x14ac:dyDescent="0.2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</row>
    <row r="931" spans="1:12" ht="12.75" customHeight="1" x14ac:dyDescent="0.2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</row>
    <row r="932" spans="1:12" ht="12.75" customHeight="1" x14ac:dyDescent="0.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</row>
    <row r="933" spans="1:12" ht="12.75" customHeight="1" x14ac:dyDescent="0.2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</row>
    <row r="934" spans="1:12" ht="12.75" customHeight="1" x14ac:dyDescent="0.2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</row>
    <row r="935" spans="1:12" ht="12.75" customHeight="1" x14ac:dyDescent="0.2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</row>
    <row r="936" spans="1:12" ht="12.75" customHeight="1" x14ac:dyDescent="0.2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</row>
    <row r="937" spans="1:12" ht="12.75" customHeight="1" x14ac:dyDescent="0.2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</row>
    <row r="938" spans="1:12" ht="12.75" customHeight="1" x14ac:dyDescent="0.2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</row>
    <row r="939" spans="1:12" ht="12.75" customHeight="1" x14ac:dyDescent="0.2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</row>
    <row r="940" spans="1:12" ht="12.75" customHeight="1" x14ac:dyDescent="0.2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</row>
    <row r="941" spans="1:12" ht="12.75" customHeight="1" x14ac:dyDescent="0.2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</row>
    <row r="942" spans="1:12" ht="12.75" customHeight="1" x14ac:dyDescent="0.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</row>
    <row r="943" spans="1:12" ht="12.75" customHeight="1" x14ac:dyDescent="0.2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</row>
    <row r="944" spans="1:12" ht="12.75" customHeight="1" x14ac:dyDescent="0.2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</row>
    <row r="945" spans="1:12" ht="12.75" customHeight="1" x14ac:dyDescent="0.2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</row>
    <row r="946" spans="1:12" ht="12.75" customHeight="1" x14ac:dyDescent="0.2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</row>
    <row r="947" spans="1:12" ht="12.75" customHeight="1" x14ac:dyDescent="0.2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</row>
    <row r="948" spans="1:12" ht="12.75" customHeight="1" x14ac:dyDescent="0.2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</row>
    <row r="949" spans="1:12" ht="12.75" customHeight="1" x14ac:dyDescent="0.2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</row>
    <row r="950" spans="1:12" ht="12.75" customHeight="1" x14ac:dyDescent="0.2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</row>
    <row r="951" spans="1:12" ht="12.75" customHeight="1" x14ac:dyDescent="0.2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</row>
    <row r="952" spans="1:12" ht="12.75" customHeight="1" x14ac:dyDescent="0.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</row>
    <row r="953" spans="1:12" ht="12.75" customHeight="1" x14ac:dyDescent="0.2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</row>
    <row r="954" spans="1:12" ht="12.75" customHeight="1" x14ac:dyDescent="0.2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</row>
    <row r="955" spans="1:12" ht="12.75" customHeight="1" x14ac:dyDescent="0.2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</row>
    <row r="956" spans="1:12" ht="12.75" customHeight="1" x14ac:dyDescent="0.2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</row>
    <row r="957" spans="1:12" ht="12.75" customHeight="1" x14ac:dyDescent="0.2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</row>
    <row r="958" spans="1:12" ht="12.75" customHeight="1" x14ac:dyDescent="0.2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</row>
    <row r="959" spans="1:12" ht="12.75" customHeight="1" x14ac:dyDescent="0.2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</row>
    <row r="960" spans="1:12" ht="12.75" customHeight="1" x14ac:dyDescent="0.2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</row>
    <row r="961" spans="1:12" ht="12.75" customHeight="1" x14ac:dyDescent="0.2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</row>
    <row r="962" spans="1:12" ht="12.75" customHeight="1" x14ac:dyDescent="0.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</row>
    <row r="963" spans="1:12" ht="12.75" customHeight="1" x14ac:dyDescent="0.2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</row>
    <row r="964" spans="1:12" ht="12.75" customHeight="1" x14ac:dyDescent="0.2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</row>
    <row r="965" spans="1:12" ht="12.75" customHeight="1" x14ac:dyDescent="0.2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</row>
    <row r="966" spans="1:12" ht="12.75" customHeight="1" x14ac:dyDescent="0.2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</row>
    <row r="967" spans="1:12" ht="12.75" customHeight="1" x14ac:dyDescent="0.2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</row>
    <row r="968" spans="1:12" ht="12.75" customHeight="1" x14ac:dyDescent="0.2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</row>
    <row r="969" spans="1:12" ht="12.75" customHeight="1" x14ac:dyDescent="0.2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</row>
    <row r="970" spans="1:12" ht="12.75" customHeight="1" x14ac:dyDescent="0.2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</row>
    <row r="971" spans="1:12" ht="12.75" customHeight="1" x14ac:dyDescent="0.2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</row>
    <row r="972" spans="1:12" ht="12.75" customHeight="1" x14ac:dyDescent="0.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</row>
    <row r="973" spans="1:12" ht="12.75" customHeight="1" x14ac:dyDescent="0.2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</row>
    <row r="974" spans="1:12" ht="12.75" customHeight="1" x14ac:dyDescent="0.2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</row>
    <row r="975" spans="1:12" ht="12.75" customHeight="1" x14ac:dyDescent="0.2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</row>
    <row r="976" spans="1:12" ht="12.75" customHeight="1" x14ac:dyDescent="0.2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</row>
    <row r="977" spans="1:12" ht="12.75" customHeight="1" x14ac:dyDescent="0.2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</row>
    <row r="978" spans="1:12" ht="12.75" customHeight="1" x14ac:dyDescent="0.2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</row>
    <row r="979" spans="1:12" ht="12.75" customHeight="1" x14ac:dyDescent="0.2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</row>
    <row r="980" spans="1:12" ht="12.75" customHeight="1" x14ac:dyDescent="0.2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</row>
    <row r="981" spans="1:12" ht="12.75" customHeight="1" x14ac:dyDescent="0.2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</row>
    <row r="982" spans="1:12" ht="12.75" customHeight="1" x14ac:dyDescent="0.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</row>
    <row r="983" spans="1:12" ht="12.75" customHeight="1" x14ac:dyDescent="0.2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</row>
    <row r="984" spans="1:12" ht="12.75" customHeight="1" x14ac:dyDescent="0.2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</row>
    <row r="985" spans="1:12" ht="12.75" customHeight="1" x14ac:dyDescent="0.2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</row>
    <row r="986" spans="1:12" ht="12.75" customHeight="1" x14ac:dyDescent="0.2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</row>
    <row r="987" spans="1:12" ht="12.75" customHeight="1" x14ac:dyDescent="0.2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</row>
    <row r="988" spans="1:12" ht="12.75" customHeight="1" x14ac:dyDescent="0.2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</row>
    <row r="989" spans="1:12" ht="12.75" customHeight="1" x14ac:dyDescent="0.2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</row>
    <row r="990" spans="1:12" ht="12.75" customHeight="1" x14ac:dyDescent="0.2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</row>
    <row r="991" spans="1:12" ht="12.75" customHeight="1" x14ac:dyDescent="0.2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</row>
    <row r="992" spans="1:12" ht="12.75" customHeight="1" x14ac:dyDescent="0.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</row>
    <row r="993" spans="1:12" ht="12.75" customHeight="1" x14ac:dyDescent="0.2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</row>
    <row r="994" spans="1:12" ht="12.75" customHeight="1" x14ac:dyDescent="0.2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</row>
    <row r="995" spans="1:12" ht="12.75" customHeight="1" x14ac:dyDescent="0.2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</row>
    <row r="996" spans="1:12" ht="12.75" customHeight="1" x14ac:dyDescent="0.2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</row>
    <row r="997" spans="1:12" ht="12.75" customHeight="1" x14ac:dyDescent="0.2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</row>
    <row r="998" spans="1:12" ht="12.75" customHeight="1" x14ac:dyDescent="0.2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</row>
    <row r="999" spans="1:12" ht="12.75" customHeight="1" x14ac:dyDescent="0.2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</row>
    <row r="1000" spans="1:12" ht="12.75" customHeight="1" x14ac:dyDescent="0.2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</row>
  </sheetData>
  <mergeCells count="2">
    <mergeCell ref="A2:C2"/>
    <mergeCell ref="D2:E2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topLeftCell="A37" workbookViewId="0">
      <selection activeCell="T42" sqref="T42"/>
    </sheetView>
  </sheetViews>
  <sheetFormatPr defaultColWidth="14.42578125" defaultRowHeight="15" customHeight="1" x14ac:dyDescent="0.2"/>
  <cols>
    <col min="1" max="1" width="12.85546875" customWidth="1"/>
    <col min="2" max="2" width="10.140625" customWidth="1"/>
    <col min="3" max="3" width="11" customWidth="1"/>
    <col min="4" max="4" width="10.140625" customWidth="1"/>
    <col min="5" max="5" width="9.85546875" customWidth="1"/>
    <col min="6" max="6" width="11.5703125" customWidth="1"/>
    <col min="7" max="7" width="12.5703125" customWidth="1"/>
    <col min="8" max="8" width="12" customWidth="1"/>
    <col min="9" max="9" width="7.85546875" customWidth="1"/>
    <col min="10" max="10" width="15" customWidth="1"/>
    <col min="11" max="11" width="10.7109375" customWidth="1"/>
    <col min="12" max="12" width="13.5703125" customWidth="1"/>
    <col min="13" max="13" width="12.28515625" customWidth="1"/>
    <col min="14" max="14" width="11.42578125" customWidth="1"/>
    <col min="15" max="17" width="12.85546875" customWidth="1"/>
    <col min="18" max="18" width="12.42578125" customWidth="1"/>
    <col min="19" max="19" width="21.85546875" customWidth="1"/>
    <col min="20" max="20" width="17.7109375" customWidth="1"/>
    <col min="21" max="21" width="22.85546875" customWidth="1"/>
    <col min="22" max="26" width="8" customWidth="1"/>
  </cols>
  <sheetData>
    <row r="1" spans="1:26" ht="12.75" customHeight="1" x14ac:dyDescent="0.2">
      <c r="A1" s="20" t="s">
        <v>14</v>
      </c>
      <c r="B1" s="1"/>
      <c r="C1" s="1"/>
      <c r="D1" s="17"/>
      <c r="E1" s="17"/>
      <c r="F1" s="17"/>
      <c r="G1" s="17"/>
      <c r="H1" s="1"/>
      <c r="I1" s="1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2.75" customHeight="1" x14ac:dyDescent="0.25">
      <c r="A2" s="102">
        <f>'Summary '!$A$3</f>
        <v>0</v>
      </c>
      <c r="B2" s="103"/>
      <c r="C2" s="103"/>
      <c r="D2" s="20"/>
      <c r="E2" s="17"/>
      <c r="F2" s="17"/>
      <c r="G2" s="17"/>
      <c r="H2" s="40"/>
      <c r="I2" s="35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2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3.5" customHeight="1" x14ac:dyDescent="0.2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17"/>
      <c r="S4" s="17"/>
      <c r="T4" s="17"/>
      <c r="U4" s="17"/>
      <c r="V4" s="17"/>
      <c r="W4" s="17"/>
      <c r="X4" s="17"/>
      <c r="Y4" s="17"/>
      <c r="Z4" s="17"/>
    </row>
    <row r="5" spans="1:26" ht="51" customHeight="1" x14ac:dyDescent="0.25">
      <c r="A5" s="104"/>
      <c r="B5" s="105" t="s">
        <v>39</v>
      </c>
      <c r="C5" s="106" t="s">
        <v>40</v>
      </c>
      <c r="D5" s="107" t="s">
        <v>41</v>
      </c>
      <c r="E5" s="106" t="s">
        <v>42</v>
      </c>
      <c r="F5" s="106" t="s">
        <v>43</v>
      </c>
      <c r="G5" s="108" t="s">
        <v>44</v>
      </c>
      <c r="H5" s="106" t="s">
        <v>45</v>
      </c>
      <c r="I5" s="106" t="s">
        <v>46</v>
      </c>
      <c r="J5" s="106" t="s">
        <v>47</v>
      </c>
      <c r="K5" s="106" t="s">
        <v>48</v>
      </c>
      <c r="L5" s="109" t="s">
        <v>49</v>
      </c>
      <c r="M5" s="106" t="s">
        <v>50</v>
      </c>
      <c r="N5" s="106" t="s">
        <v>51</v>
      </c>
      <c r="O5" s="106" t="s">
        <v>52</v>
      </c>
      <c r="P5" s="106" t="s">
        <v>53</v>
      </c>
      <c r="Q5" s="106" t="s">
        <v>54</v>
      </c>
      <c r="R5" s="106" t="s">
        <v>55</v>
      </c>
      <c r="S5" s="110" t="s">
        <v>56</v>
      </c>
      <c r="T5" s="111" t="s">
        <v>57</v>
      </c>
      <c r="U5" s="112" t="s">
        <v>58</v>
      </c>
      <c r="V5" s="20"/>
      <c r="W5" s="20"/>
      <c r="X5" s="20"/>
      <c r="Y5" s="20"/>
      <c r="Z5" s="20"/>
    </row>
    <row r="6" spans="1:26" ht="12.75" customHeight="1" x14ac:dyDescent="0.25">
      <c r="A6" s="113" t="s">
        <v>25</v>
      </c>
      <c r="B6" s="121"/>
      <c r="C6" s="122"/>
      <c r="D6" s="123">
        <v>70</v>
      </c>
      <c r="E6" s="122"/>
      <c r="F6" s="122">
        <v>1246.8399999999999</v>
      </c>
      <c r="G6" s="122">
        <v>200</v>
      </c>
      <c r="H6" s="122">
        <v>273.36</v>
      </c>
      <c r="I6" s="122"/>
      <c r="J6" s="122"/>
      <c r="K6" s="122"/>
      <c r="L6" s="123">
        <v>100</v>
      </c>
      <c r="M6" s="122"/>
      <c r="N6" s="122">
        <v>260.82</v>
      </c>
      <c r="O6" s="122"/>
      <c r="P6" s="122">
        <v>12.29</v>
      </c>
      <c r="Q6" s="122"/>
      <c r="R6" s="124"/>
      <c r="S6" s="123">
        <v>820.08</v>
      </c>
      <c r="T6" s="125"/>
      <c r="U6" s="121"/>
      <c r="V6" s="17"/>
      <c r="W6" s="17"/>
      <c r="X6" s="17"/>
      <c r="Y6" s="17"/>
      <c r="Z6" s="17"/>
    </row>
    <row r="7" spans="1:26" ht="12.75" customHeight="1" x14ac:dyDescent="0.25">
      <c r="A7" s="113" t="s">
        <v>26</v>
      </c>
      <c r="B7" s="121"/>
      <c r="C7" s="122"/>
      <c r="D7" s="123"/>
      <c r="E7" s="122"/>
      <c r="F7" s="122"/>
      <c r="G7" s="122"/>
      <c r="H7" s="122"/>
      <c r="I7" s="122"/>
      <c r="J7" s="122"/>
      <c r="K7" s="122"/>
      <c r="L7" s="123"/>
      <c r="M7" s="122"/>
      <c r="N7" s="122">
        <v>260.82</v>
      </c>
      <c r="O7" s="122"/>
      <c r="P7" s="122">
        <v>12.29</v>
      </c>
      <c r="Q7" s="122">
        <v>1726</v>
      </c>
      <c r="R7" s="124"/>
      <c r="S7" s="123"/>
      <c r="T7" s="125"/>
      <c r="U7" s="121"/>
      <c r="V7" s="17"/>
      <c r="W7" s="17"/>
      <c r="X7" s="17"/>
      <c r="Y7" s="17"/>
      <c r="Z7" s="17"/>
    </row>
    <row r="8" spans="1:26" ht="12.75" customHeight="1" x14ac:dyDescent="0.25">
      <c r="A8" s="113" t="s">
        <v>27</v>
      </c>
      <c r="B8" s="121"/>
      <c r="C8" s="122"/>
      <c r="D8" s="123"/>
      <c r="E8" s="122"/>
      <c r="F8" s="122"/>
      <c r="G8" s="122"/>
      <c r="H8" s="122">
        <v>120</v>
      </c>
      <c r="I8" s="122"/>
      <c r="J8" s="122"/>
      <c r="K8" s="122"/>
      <c r="L8" s="123"/>
      <c r="M8" s="122"/>
      <c r="N8" s="122">
        <v>260.82</v>
      </c>
      <c r="O8" s="122"/>
      <c r="P8" s="122">
        <v>12.29</v>
      </c>
      <c r="Q8" s="122"/>
      <c r="R8" s="124"/>
      <c r="S8" s="123"/>
      <c r="T8" s="125"/>
      <c r="U8" s="121"/>
      <c r="V8" s="17"/>
      <c r="W8" s="17"/>
      <c r="X8" s="17"/>
      <c r="Y8" s="17"/>
      <c r="Z8" s="17"/>
    </row>
    <row r="9" spans="1:26" ht="12.75" customHeight="1" x14ac:dyDescent="0.25">
      <c r="A9" s="113" t="s">
        <v>28</v>
      </c>
      <c r="B9" s="121"/>
      <c r="C9" s="122"/>
      <c r="D9" s="123"/>
      <c r="E9" s="122"/>
      <c r="F9" s="122"/>
      <c r="G9" s="122"/>
      <c r="H9" s="122"/>
      <c r="I9" s="122"/>
      <c r="J9" s="122"/>
      <c r="K9" s="122"/>
      <c r="L9" s="123"/>
      <c r="M9" s="122"/>
      <c r="N9" s="122">
        <v>260.82</v>
      </c>
      <c r="O9" s="122"/>
      <c r="P9" s="122">
        <v>12.29</v>
      </c>
      <c r="Q9" s="122"/>
      <c r="R9" s="124"/>
      <c r="S9" s="123"/>
      <c r="T9" s="125"/>
      <c r="U9" s="121"/>
      <c r="V9" s="17"/>
      <c r="W9" s="17"/>
      <c r="X9" s="17"/>
      <c r="Y9" s="17"/>
      <c r="Z9" s="17"/>
    </row>
    <row r="10" spans="1:26" ht="12.75" customHeight="1" x14ac:dyDescent="0.25">
      <c r="A10" s="113" t="s">
        <v>29</v>
      </c>
      <c r="B10" s="121"/>
      <c r="C10" s="122"/>
      <c r="D10" s="123"/>
      <c r="E10" s="122"/>
      <c r="F10" s="122"/>
      <c r="G10" s="122"/>
      <c r="H10" s="122"/>
      <c r="I10" s="122"/>
      <c r="J10" s="122"/>
      <c r="K10" s="122">
        <v>176.23</v>
      </c>
      <c r="L10" s="123"/>
      <c r="M10" s="122"/>
      <c r="N10" s="122">
        <v>260.82</v>
      </c>
      <c r="O10" s="122"/>
      <c r="P10" s="122">
        <v>12.29</v>
      </c>
      <c r="Q10" s="122"/>
      <c r="R10" s="124"/>
      <c r="S10" s="123"/>
      <c r="T10" s="125"/>
      <c r="U10" s="121"/>
      <c r="V10" s="17"/>
      <c r="W10" s="17"/>
      <c r="X10" s="17"/>
      <c r="Y10" s="17"/>
      <c r="Z10" s="17"/>
    </row>
    <row r="11" spans="1:26" ht="12.75" customHeight="1" x14ac:dyDescent="0.25">
      <c r="A11" s="113" t="s">
        <v>30</v>
      </c>
      <c r="B11" s="121"/>
      <c r="C11" s="122"/>
      <c r="D11" s="123"/>
      <c r="E11" s="122"/>
      <c r="F11" s="122"/>
      <c r="G11" s="122"/>
      <c r="H11" s="122"/>
      <c r="I11" s="122"/>
      <c r="J11" s="122">
        <v>469.02</v>
      </c>
      <c r="K11" s="122"/>
      <c r="L11" s="123"/>
      <c r="M11" s="122"/>
      <c r="N11" s="122">
        <v>260.82</v>
      </c>
      <c r="O11" s="122"/>
      <c r="P11" s="122">
        <v>12.29</v>
      </c>
      <c r="Q11" s="122"/>
      <c r="R11" s="124"/>
      <c r="S11" s="123"/>
      <c r="T11" s="125"/>
      <c r="U11" s="121"/>
      <c r="V11" s="17"/>
      <c r="W11" s="17"/>
      <c r="X11" s="17"/>
      <c r="Y11" s="17"/>
      <c r="Z11" s="17"/>
    </row>
    <row r="12" spans="1:26" ht="12.75" customHeight="1" x14ac:dyDescent="0.25">
      <c r="A12" s="113" t="s">
        <v>31</v>
      </c>
      <c r="B12" s="121"/>
      <c r="C12" s="122"/>
      <c r="D12" s="123"/>
      <c r="E12" s="122"/>
      <c r="F12" s="122"/>
      <c r="G12" s="122"/>
      <c r="H12" s="122"/>
      <c r="I12" s="122"/>
      <c r="J12" s="122">
        <v>151.99</v>
      </c>
      <c r="K12" s="122"/>
      <c r="L12" s="123"/>
      <c r="M12" s="122"/>
      <c r="N12" s="122">
        <v>260.82</v>
      </c>
      <c r="O12" s="122"/>
      <c r="P12" s="122">
        <v>12.29</v>
      </c>
      <c r="Q12" s="122"/>
      <c r="R12" s="124"/>
      <c r="S12" s="123"/>
      <c r="T12" s="125"/>
      <c r="U12" s="121"/>
      <c r="V12" s="17"/>
      <c r="W12" s="17"/>
      <c r="X12" s="17"/>
      <c r="Y12" s="17"/>
      <c r="Z12" s="17"/>
    </row>
    <row r="13" spans="1:26" ht="12.75" customHeight="1" x14ac:dyDescent="0.25">
      <c r="A13" s="113" t="s">
        <v>32</v>
      </c>
      <c r="B13" s="121"/>
      <c r="C13" s="122"/>
      <c r="D13" s="123"/>
      <c r="E13" s="122"/>
      <c r="F13" s="122"/>
      <c r="G13" s="122"/>
      <c r="H13" s="122"/>
      <c r="I13" s="122"/>
      <c r="J13" s="122">
        <v>76</v>
      </c>
      <c r="K13" s="122"/>
      <c r="L13" s="123"/>
      <c r="M13" s="122"/>
      <c r="N13" s="122">
        <v>260.82</v>
      </c>
      <c r="O13" s="122"/>
      <c r="P13" s="122">
        <v>12.29</v>
      </c>
      <c r="Q13" s="122"/>
      <c r="R13" s="124"/>
      <c r="S13" s="123"/>
      <c r="T13" s="125"/>
      <c r="U13" s="121"/>
      <c r="V13" s="17"/>
      <c r="W13" s="17"/>
      <c r="X13" s="17"/>
      <c r="Y13" s="17"/>
      <c r="Z13" s="17"/>
    </row>
    <row r="14" spans="1:26" ht="12.75" customHeight="1" x14ac:dyDescent="0.25">
      <c r="A14" s="113" t="s">
        <v>33</v>
      </c>
      <c r="B14" s="121"/>
      <c r="C14" s="122"/>
      <c r="D14" s="123"/>
      <c r="E14" s="122"/>
      <c r="F14" s="122"/>
      <c r="G14" s="122"/>
      <c r="H14" s="122"/>
      <c r="I14" s="122"/>
      <c r="J14" s="122"/>
      <c r="K14" s="122"/>
      <c r="L14" s="123"/>
      <c r="M14" s="122"/>
      <c r="N14" s="122">
        <v>260.82</v>
      </c>
      <c r="O14" s="122"/>
      <c r="P14" s="122">
        <v>12.29</v>
      </c>
      <c r="Q14" s="122"/>
      <c r="R14" s="124"/>
      <c r="S14" s="123"/>
      <c r="T14" s="125"/>
      <c r="U14" s="121"/>
      <c r="V14" s="17"/>
      <c r="W14" s="17"/>
      <c r="X14" s="17"/>
      <c r="Y14" s="17"/>
      <c r="Z14" s="17"/>
    </row>
    <row r="15" spans="1:26" ht="12.75" customHeight="1" x14ac:dyDescent="0.25">
      <c r="A15" s="113" t="s">
        <v>34</v>
      </c>
      <c r="B15" s="121"/>
      <c r="C15" s="122"/>
      <c r="D15" s="123"/>
      <c r="E15" s="122"/>
      <c r="F15" s="122"/>
      <c r="G15" s="122"/>
      <c r="H15" s="122"/>
      <c r="I15" s="122"/>
      <c r="J15" s="122">
        <v>61.02</v>
      </c>
      <c r="K15" s="122"/>
      <c r="L15" s="123"/>
      <c r="M15" s="122"/>
      <c r="N15" s="122">
        <v>260.82</v>
      </c>
      <c r="O15" s="122"/>
      <c r="P15" s="122">
        <v>12.29</v>
      </c>
      <c r="Q15" s="122"/>
      <c r="R15" s="124"/>
      <c r="S15" s="123"/>
      <c r="T15" s="125"/>
      <c r="U15" s="121"/>
      <c r="V15" s="17"/>
      <c r="W15" s="17"/>
      <c r="X15" s="17"/>
      <c r="Y15" s="17"/>
      <c r="Z15" s="17"/>
    </row>
    <row r="16" spans="1:26" ht="12.75" customHeight="1" x14ac:dyDescent="0.25">
      <c r="A16" s="113" t="s">
        <v>35</v>
      </c>
      <c r="B16" s="121"/>
      <c r="C16" s="122"/>
      <c r="D16" s="123"/>
      <c r="E16" s="122"/>
      <c r="F16" s="122"/>
      <c r="G16" s="122"/>
      <c r="H16" s="122"/>
      <c r="I16" s="122"/>
      <c r="J16" s="122">
        <v>61.02</v>
      </c>
      <c r="K16" s="122"/>
      <c r="L16" s="123"/>
      <c r="M16" s="122"/>
      <c r="N16" s="122">
        <v>260.82</v>
      </c>
      <c r="O16" s="122"/>
      <c r="P16" s="122">
        <v>12.29</v>
      </c>
      <c r="Q16" s="122"/>
      <c r="R16" s="124"/>
      <c r="S16" s="123"/>
      <c r="T16" s="125"/>
      <c r="U16" s="121"/>
      <c r="V16" s="17"/>
      <c r="W16" s="17"/>
      <c r="X16" s="17"/>
      <c r="Y16" s="17"/>
      <c r="Z16" s="17"/>
    </row>
    <row r="17" spans="1:26" ht="13.5" customHeight="1" x14ac:dyDescent="0.25">
      <c r="A17" s="113" t="s">
        <v>36</v>
      </c>
      <c r="B17" s="121"/>
      <c r="C17" s="122"/>
      <c r="D17" s="123"/>
      <c r="E17" s="122"/>
      <c r="F17" s="122"/>
      <c r="G17" s="122"/>
      <c r="H17" s="122"/>
      <c r="I17" s="122"/>
      <c r="J17" s="122">
        <v>61.02</v>
      </c>
      <c r="K17" s="122"/>
      <c r="L17" s="123"/>
      <c r="M17" s="122"/>
      <c r="N17" s="122">
        <v>260.82</v>
      </c>
      <c r="O17" s="122"/>
      <c r="P17" s="122">
        <v>12.29</v>
      </c>
      <c r="Q17" s="122"/>
      <c r="R17" s="126"/>
      <c r="S17" s="127"/>
      <c r="T17" s="125"/>
      <c r="U17" s="121"/>
      <c r="V17" s="17"/>
      <c r="W17" s="17"/>
      <c r="X17" s="17"/>
      <c r="Y17" s="17"/>
      <c r="Z17" s="17"/>
    </row>
    <row r="18" spans="1:26" ht="13.5" customHeight="1" x14ac:dyDescent="0.25">
      <c r="A18" s="114"/>
      <c r="B18" s="115">
        <f t="shared" ref="B18:S18" si="0">SUM(B6:B17)</f>
        <v>0</v>
      </c>
      <c r="C18" s="116">
        <f t="shared" si="0"/>
        <v>0</v>
      </c>
      <c r="D18" s="117">
        <f t="shared" si="0"/>
        <v>70</v>
      </c>
      <c r="E18" s="116">
        <f t="shared" si="0"/>
        <v>0</v>
      </c>
      <c r="F18" s="116">
        <f t="shared" si="0"/>
        <v>1246.8399999999999</v>
      </c>
      <c r="G18" s="116">
        <f t="shared" si="0"/>
        <v>200</v>
      </c>
      <c r="H18" s="116">
        <f t="shared" si="0"/>
        <v>393.36</v>
      </c>
      <c r="I18" s="116">
        <f t="shared" si="0"/>
        <v>0</v>
      </c>
      <c r="J18" s="116">
        <f t="shared" si="0"/>
        <v>880.06999999999994</v>
      </c>
      <c r="K18" s="116">
        <f t="shared" si="0"/>
        <v>176.23</v>
      </c>
      <c r="L18" s="117">
        <f t="shared" si="0"/>
        <v>100</v>
      </c>
      <c r="M18" s="116">
        <f t="shared" si="0"/>
        <v>0</v>
      </c>
      <c r="N18" s="116">
        <f t="shared" si="0"/>
        <v>3129.8400000000006</v>
      </c>
      <c r="O18" s="116">
        <f t="shared" si="0"/>
        <v>0</v>
      </c>
      <c r="P18" s="116">
        <f t="shared" si="0"/>
        <v>147.47999999999996</v>
      </c>
      <c r="Q18" s="116">
        <f t="shared" si="0"/>
        <v>1726</v>
      </c>
      <c r="R18" s="116">
        <f t="shared" si="0"/>
        <v>0</v>
      </c>
      <c r="S18" s="118">
        <f t="shared" si="0"/>
        <v>820.08</v>
      </c>
      <c r="T18" s="119"/>
      <c r="U18" s="120"/>
      <c r="V18" s="17"/>
      <c r="W18" s="17"/>
      <c r="X18" s="17"/>
      <c r="Y18" s="17"/>
      <c r="Z18" s="17"/>
    </row>
    <row r="19" spans="1:26" ht="12.75" customHeight="1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2.75" customHeight="1" x14ac:dyDescent="0.2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3.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28" t="s">
        <v>59</v>
      </c>
      <c r="K21" s="128"/>
      <c r="L21" s="129">
        <f>SUM(B18:O18)</f>
        <v>6196.34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2.75" customHeight="1" x14ac:dyDescent="0.2">
      <c r="A22" s="17"/>
      <c r="B22" s="17"/>
      <c r="C22" s="17"/>
      <c r="D22" s="17"/>
      <c r="E22" s="17"/>
      <c r="F22" s="17"/>
      <c r="G22" s="17"/>
      <c r="H22" s="17"/>
      <c r="I22" s="17"/>
      <c r="J22" s="20"/>
      <c r="K22" s="17"/>
      <c r="L22" s="20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2.75" customHeight="1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2.75" customHeight="1" x14ac:dyDescent="0.2">
      <c r="A24" s="22"/>
      <c r="B24" s="23"/>
      <c r="C24" s="23"/>
      <c r="D24" s="23"/>
      <c r="E24" s="24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2.75" customHeight="1" x14ac:dyDescent="0.2">
      <c r="A25" s="25"/>
      <c r="B25" s="31" t="s">
        <v>60</v>
      </c>
      <c r="C25" s="17"/>
      <c r="D25" s="17"/>
      <c r="E25" s="18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2.75" customHeight="1" x14ac:dyDescent="0.2">
      <c r="A26" s="25"/>
      <c r="B26" s="17"/>
      <c r="C26" s="17"/>
      <c r="D26" s="17"/>
      <c r="E26" s="18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2.75" customHeight="1" x14ac:dyDescent="0.2">
      <c r="A27" s="25"/>
      <c r="B27" s="17"/>
      <c r="C27" s="26" t="s">
        <v>11</v>
      </c>
      <c r="D27" s="17"/>
      <c r="E27" s="18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 x14ac:dyDescent="0.25">
      <c r="A28" s="25"/>
      <c r="B28" s="128" t="s">
        <v>25</v>
      </c>
      <c r="C28" s="125"/>
      <c r="D28" s="17"/>
      <c r="E28" s="18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2.75" customHeight="1" x14ac:dyDescent="0.25">
      <c r="A29" s="25"/>
      <c r="B29" s="128" t="s">
        <v>26</v>
      </c>
      <c r="C29" s="125"/>
      <c r="D29" s="17"/>
      <c r="E29" s="18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2.75" customHeight="1" x14ac:dyDescent="0.25">
      <c r="A30" s="25"/>
      <c r="B30" s="128" t="s">
        <v>27</v>
      </c>
      <c r="C30" s="125"/>
      <c r="D30" s="17"/>
      <c r="E30" s="18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2.75" customHeight="1" x14ac:dyDescent="0.25">
      <c r="A31" s="25"/>
      <c r="B31" s="128" t="s">
        <v>28</v>
      </c>
      <c r="C31" s="125"/>
      <c r="D31" s="17"/>
      <c r="E31" s="18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 x14ac:dyDescent="0.25">
      <c r="A32" s="25"/>
      <c r="B32" s="128" t="s">
        <v>29</v>
      </c>
      <c r="C32" s="125"/>
      <c r="D32" s="17"/>
      <c r="E32" s="18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2.75" customHeight="1" x14ac:dyDescent="0.25">
      <c r="A33" s="25"/>
      <c r="B33" s="128" t="s">
        <v>30</v>
      </c>
      <c r="C33" s="125"/>
      <c r="D33" s="17"/>
      <c r="E33" s="18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2.75" customHeight="1" x14ac:dyDescent="0.25">
      <c r="A34" s="25"/>
      <c r="B34" s="128" t="s">
        <v>31</v>
      </c>
      <c r="C34" s="125"/>
      <c r="D34" s="17"/>
      <c r="E34" s="18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2.75" customHeight="1" x14ac:dyDescent="0.25">
      <c r="A35" s="25"/>
      <c r="B35" s="128" t="s">
        <v>32</v>
      </c>
      <c r="C35" s="125"/>
      <c r="D35" s="17"/>
      <c r="E35" s="18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customHeight="1" x14ac:dyDescent="0.25">
      <c r="A36" s="25"/>
      <c r="B36" s="128" t="s">
        <v>33</v>
      </c>
      <c r="C36" s="125"/>
      <c r="D36" s="17"/>
      <c r="E36" s="18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2.75" customHeight="1" x14ac:dyDescent="0.25">
      <c r="A37" s="25"/>
      <c r="B37" s="128" t="s">
        <v>34</v>
      </c>
      <c r="C37" s="125"/>
      <c r="D37" s="17"/>
      <c r="E37" s="18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2.75" customHeight="1" x14ac:dyDescent="0.25">
      <c r="A38" s="25"/>
      <c r="B38" s="128" t="s">
        <v>35</v>
      </c>
      <c r="C38" s="125"/>
      <c r="D38" s="17"/>
      <c r="E38" s="18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2.75" customHeight="1" x14ac:dyDescent="0.25">
      <c r="A39" s="25"/>
      <c r="B39" s="128" t="s">
        <v>36</v>
      </c>
      <c r="C39" s="125"/>
      <c r="D39" s="17"/>
      <c r="E39" s="18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2.75" customHeight="1" x14ac:dyDescent="0.25">
      <c r="A40" s="25"/>
      <c r="B40" s="128"/>
      <c r="C40" s="125"/>
      <c r="D40" s="17"/>
      <c r="E40" s="18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3.5" customHeight="1" x14ac:dyDescent="0.25">
      <c r="A41" s="25"/>
      <c r="B41" s="128" t="s">
        <v>37</v>
      </c>
      <c r="C41" s="130">
        <f>SUM(C28:C39)</f>
        <v>0</v>
      </c>
      <c r="D41" s="17"/>
      <c r="E41" s="18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3.5" customHeight="1" x14ac:dyDescent="0.2">
      <c r="A42" s="25"/>
      <c r="B42" s="17"/>
      <c r="C42" s="17"/>
      <c r="D42" s="17"/>
      <c r="E42" s="18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2.75" customHeight="1" x14ac:dyDescent="0.2">
      <c r="A43" s="25"/>
      <c r="B43" s="20" t="s">
        <v>61</v>
      </c>
      <c r="C43" s="17"/>
      <c r="D43" s="17"/>
      <c r="E43" s="18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2.75" customHeight="1" x14ac:dyDescent="0.2">
      <c r="A44" s="27"/>
      <c r="B44" s="28"/>
      <c r="C44" s="28"/>
      <c r="D44" s="28"/>
      <c r="E44" s="29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2.75" customHeight="1" x14ac:dyDescent="0.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2.75" customHeight="1" x14ac:dyDescent="0.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2.75" customHeight="1" x14ac:dyDescent="0.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2.75" customHeight="1" x14ac:dyDescent="0.2">
      <c r="A48" s="17"/>
      <c r="B48" s="17"/>
      <c r="C48" s="1"/>
      <c r="D48" s="1"/>
      <c r="E48" s="1"/>
      <c r="F48" s="1"/>
      <c r="G48" s="1"/>
      <c r="H48" s="1"/>
      <c r="I48" s="1"/>
      <c r="J48" s="1"/>
      <c r="K48" s="1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2.75" customHeight="1" x14ac:dyDescent="0.2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2.75" customHeight="1" x14ac:dyDescent="0.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2.75" customHeight="1" x14ac:dyDescent="0.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2.75" customHeight="1" x14ac:dyDescent="0.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.75" customHeight="1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2.75" customHeight="1" x14ac:dyDescent="0.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.75" customHeight="1" x14ac:dyDescent="0.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2.75" customHeight="1" x14ac:dyDescent="0.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2.75" customHeight="1" x14ac:dyDescent="0.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2.75" customHeight="1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2.75" customHeight="1" x14ac:dyDescent="0.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2.75" customHeight="1" x14ac:dyDescent="0.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.75" customHeight="1" x14ac:dyDescent="0.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.75" customHeight="1" x14ac:dyDescent="0.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.75" customHeight="1" x14ac:dyDescent="0.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.75" customHeight="1" x14ac:dyDescent="0.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2.75" customHeight="1" x14ac:dyDescent="0.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2.75" customHeight="1" x14ac:dyDescent="0.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customHeight="1" x14ac:dyDescent="0.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customHeight="1" x14ac:dyDescent="0.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customHeight="1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customHeight="1" x14ac:dyDescent="0.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customHeight="1" x14ac:dyDescent="0.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2.75" customHeight="1" x14ac:dyDescent="0.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2.75" customHeight="1" x14ac:dyDescent="0.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2.75" customHeight="1" x14ac:dyDescent="0.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2.75" customHeight="1" x14ac:dyDescent="0.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2.75" customHeight="1" x14ac:dyDescent="0.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2.75" customHeight="1" x14ac:dyDescent="0.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2.75" customHeight="1" x14ac:dyDescent="0.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2.75" customHeight="1" x14ac:dyDescent="0.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2.75" customHeight="1" x14ac:dyDescent="0.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2.75" customHeight="1" x14ac:dyDescent="0.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2.75" customHeight="1" x14ac:dyDescent="0.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2.75" customHeight="1" x14ac:dyDescent="0.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2.75" customHeight="1" x14ac:dyDescent="0.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2.75" customHeight="1" x14ac:dyDescent="0.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2.75" customHeight="1" x14ac:dyDescent="0.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2.75" customHeight="1" x14ac:dyDescent="0.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2.75" customHeight="1" x14ac:dyDescent="0.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2.75" customHeight="1" x14ac:dyDescent="0.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2.75" customHeight="1" x14ac:dyDescent="0.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2.75" customHeight="1" x14ac:dyDescent="0.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2.75" customHeight="1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2.75" customHeight="1" x14ac:dyDescent="0.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2.75" customHeight="1" x14ac:dyDescent="0.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2.75" customHeight="1" x14ac:dyDescent="0.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2.75" customHeight="1" x14ac:dyDescent="0.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2.75" customHeight="1" x14ac:dyDescent="0.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2.75" customHeight="1" x14ac:dyDescent="0.2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2.75" customHeight="1" x14ac:dyDescent="0.2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2.75" customHeight="1" x14ac:dyDescent="0.2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2.75" customHeight="1" x14ac:dyDescent="0.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2.75" customHeight="1" x14ac:dyDescent="0.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2.75" customHeight="1" x14ac:dyDescent="0.2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2.75" customHeight="1" x14ac:dyDescent="0.2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2.75" customHeight="1" x14ac:dyDescent="0.2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2.75" customHeight="1" x14ac:dyDescent="0.2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2.75" customHeight="1" x14ac:dyDescent="0.2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2.75" customHeight="1" x14ac:dyDescent="0.2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2.75" customHeight="1" x14ac:dyDescent="0.2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2.75" customHeight="1" x14ac:dyDescent="0.2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2.75" customHeight="1" x14ac:dyDescent="0.2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2.75" customHeight="1" x14ac:dyDescent="0.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2.75" customHeight="1" x14ac:dyDescent="0.2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2.75" customHeight="1" x14ac:dyDescent="0.2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2.75" customHeight="1" x14ac:dyDescent="0.2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2.75" customHeight="1" x14ac:dyDescent="0.2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2.75" customHeight="1" x14ac:dyDescent="0.2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2.75" customHeight="1" x14ac:dyDescent="0.2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2.75" customHeight="1" x14ac:dyDescent="0.2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2.75" customHeight="1" x14ac:dyDescent="0.2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2.75" customHeight="1" x14ac:dyDescent="0.2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2.75" customHeight="1" x14ac:dyDescent="0.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2.75" customHeight="1" x14ac:dyDescent="0.2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2.75" customHeight="1" x14ac:dyDescent="0.2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2.75" customHeight="1" x14ac:dyDescent="0.2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2.75" customHeight="1" x14ac:dyDescent="0.2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2.75" customHeight="1" x14ac:dyDescent="0.2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2.75" customHeight="1" x14ac:dyDescent="0.2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2.75" customHeight="1" x14ac:dyDescent="0.2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2.75" customHeight="1" x14ac:dyDescent="0.2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2.75" customHeight="1" x14ac:dyDescent="0.2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2.75" customHeight="1" x14ac:dyDescent="0.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2.75" customHeight="1" x14ac:dyDescent="0.2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2.75" customHeight="1" x14ac:dyDescent="0.2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2.75" customHeight="1" x14ac:dyDescent="0.2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2.75" customHeight="1" x14ac:dyDescent="0.2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2.75" customHeight="1" x14ac:dyDescent="0.2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2.75" customHeight="1" x14ac:dyDescent="0.2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2.75" customHeight="1" x14ac:dyDescent="0.2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2.75" customHeight="1" x14ac:dyDescent="0.2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2.75" customHeight="1" x14ac:dyDescent="0.2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2.75" customHeight="1" x14ac:dyDescent="0.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2.75" customHeight="1" x14ac:dyDescent="0.2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2.75" customHeight="1" x14ac:dyDescent="0.2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2.75" customHeight="1" x14ac:dyDescent="0.2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2.75" customHeight="1" x14ac:dyDescent="0.2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2.75" customHeight="1" x14ac:dyDescent="0.2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2.75" customHeight="1" x14ac:dyDescent="0.2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2.75" customHeight="1" x14ac:dyDescent="0.2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2.75" customHeight="1" x14ac:dyDescent="0.2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2.75" customHeight="1" x14ac:dyDescent="0.2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2.75" customHeight="1" x14ac:dyDescent="0.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2.75" customHeight="1" x14ac:dyDescent="0.2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2.75" customHeight="1" x14ac:dyDescent="0.2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2.75" customHeight="1" x14ac:dyDescent="0.2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2.75" customHeight="1" x14ac:dyDescent="0.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2.75" customHeight="1" x14ac:dyDescent="0.2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2.75" customHeight="1" x14ac:dyDescent="0.2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2.75" customHeight="1" x14ac:dyDescent="0.2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2.75" customHeight="1" x14ac:dyDescent="0.2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2.75" customHeight="1" x14ac:dyDescent="0.2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2.75" customHeight="1" x14ac:dyDescent="0.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2.75" customHeight="1" x14ac:dyDescent="0.2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2.75" customHeight="1" x14ac:dyDescent="0.2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2.75" customHeight="1" x14ac:dyDescent="0.2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2.75" customHeight="1" x14ac:dyDescent="0.2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2.75" customHeight="1" x14ac:dyDescent="0.2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2.75" customHeight="1" x14ac:dyDescent="0.2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2.75" customHeight="1" x14ac:dyDescent="0.2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2.75" customHeight="1" x14ac:dyDescent="0.2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2.75" customHeight="1" x14ac:dyDescent="0.2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2.75" customHeight="1" x14ac:dyDescent="0.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2.75" customHeight="1" x14ac:dyDescent="0.2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2.75" customHeight="1" x14ac:dyDescent="0.2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2.75" customHeight="1" x14ac:dyDescent="0.2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2.75" customHeight="1" x14ac:dyDescent="0.2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2.75" customHeight="1" x14ac:dyDescent="0.2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2.75" customHeight="1" x14ac:dyDescent="0.2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2.75" customHeight="1" x14ac:dyDescent="0.2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2.75" customHeight="1" x14ac:dyDescent="0.2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2.75" customHeight="1" x14ac:dyDescent="0.2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2.75" customHeight="1" x14ac:dyDescent="0.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2.75" customHeight="1" x14ac:dyDescent="0.2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2.75" customHeight="1" x14ac:dyDescent="0.2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2.75" customHeight="1" x14ac:dyDescent="0.2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2.75" customHeight="1" x14ac:dyDescent="0.2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2.75" customHeight="1" x14ac:dyDescent="0.2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2.75" customHeight="1" x14ac:dyDescent="0.2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2.75" customHeight="1" x14ac:dyDescent="0.2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2.75" customHeight="1" x14ac:dyDescent="0.2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2.75" customHeight="1" x14ac:dyDescent="0.2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2.75" customHeight="1" x14ac:dyDescent="0.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2.75" customHeight="1" x14ac:dyDescent="0.2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2.75" customHeight="1" x14ac:dyDescent="0.2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2.75" customHeight="1" x14ac:dyDescent="0.2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2.75" customHeight="1" x14ac:dyDescent="0.2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2.75" customHeight="1" x14ac:dyDescent="0.2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2.75" customHeight="1" x14ac:dyDescent="0.2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2.75" customHeight="1" x14ac:dyDescent="0.2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2.75" customHeight="1" x14ac:dyDescent="0.2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2.75" customHeight="1" x14ac:dyDescent="0.2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2.75" customHeight="1" x14ac:dyDescent="0.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2.75" customHeight="1" x14ac:dyDescent="0.2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2.75" customHeight="1" x14ac:dyDescent="0.2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2.75" customHeight="1" x14ac:dyDescent="0.2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2.75" customHeight="1" x14ac:dyDescent="0.2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2.75" customHeight="1" x14ac:dyDescent="0.2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2.75" customHeight="1" x14ac:dyDescent="0.2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2.75" customHeight="1" x14ac:dyDescent="0.2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2.75" customHeight="1" x14ac:dyDescent="0.2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2.75" customHeight="1" x14ac:dyDescent="0.2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2.75" customHeight="1" x14ac:dyDescent="0.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2.75" customHeight="1" x14ac:dyDescent="0.2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2.75" customHeight="1" x14ac:dyDescent="0.2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2.75" customHeight="1" x14ac:dyDescent="0.2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2.75" customHeight="1" x14ac:dyDescent="0.2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2.75" customHeight="1" x14ac:dyDescent="0.2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2.75" customHeight="1" x14ac:dyDescent="0.2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2.75" customHeight="1" x14ac:dyDescent="0.2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2.75" customHeight="1" x14ac:dyDescent="0.2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2.75" customHeight="1" x14ac:dyDescent="0.2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2.75" customHeight="1" x14ac:dyDescent="0.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2.75" customHeight="1" x14ac:dyDescent="0.2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2.75" customHeight="1" x14ac:dyDescent="0.2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2.75" customHeight="1" x14ac:dyDescent="0.2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2.75" customHeight="1" x14ac:dyDescent="0.2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2.75" customHeight="1" x14ac:dyDescent="0.2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2.75" customHeight="1" x14ac:dyDescent="0.2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2.75" customHeight="1" x14ac:dyDescent="0.2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2.75" customHeight="1" x14ac:dyDescent="0.2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2.75" customHeight="1" x14ac:dyDescent="0.2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2.75" customHeight="1" x14ac:dyDescent="0.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2.75" customHeight="1" x14ac:dyDescent="0.2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2.75" customHeight="1" x14ac:dyDescent="0.2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2.75" customHeight="1" x14ac:dyDescent="0.2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2.75" customHeight="1" x14ac:dyDescent="0.2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2.75" customHeight="1" x14ac:dyDescent="0.2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2.75" customHeight="1" x14ac:dyDescent="0.2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2.75" customHeight="1" x14ac:dyDescent="0.2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2.75" customHeight="1" x14ac:dyDescent="0.2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2.75" customHeight="1" x14ac:dyDescent="0.2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2.75" customHeight="1" x14ac:dyDescent="0.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2.75" customHeight="1" x14ac:dyDescent="0.2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2.75" customHeight="1" x14ac:dyDescent="0.2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2.75" customHeight="1" x14ac:dyDescent="0.2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2.75" customHeight="1" x14ac:dyDescent="0.2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2.75" customHeight="1" x14ac:dyDescent="0.2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2.75" customHeight="1" x14ac:dyDescent="0.2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2.75" customHeight="1" x14ac:dyDescent="0.2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2.75" customHeight="1" x14ac:dyDescent="0.2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2.75" customHeight="1" x14ac:dyDescent="0.2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2.75" customHeight="1" x14ac:dyDescent="0.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2.75" customHeight="1" x14ac:dyDescent="0.2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2.75" customHeight="1" x14ac:dyDescent="0.2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2.75" customHeight="1" x14ac:dyDescent="0.2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2.75" customHeight="1" x14ac:dyDescent="0.2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2.75" customHeight="1" x14ac:dyDescent="0.2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2.75" customHeight="1" x14ac:dyDescent="0.2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2.75" customHeight="1" x14ac:dyDescent="0.2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2.75" customHeight="1" x14ac:dyDescent="0.2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2.75" customHeight="1" x14ac:dyDescent="0.2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2.75" customHeight="1" x14ac:dyDescent="0.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2.75" customHeight="1" x14ac:dyDescent="0.2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2.75" customHeight="1" x14ac:dyDescent="0.2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2.75" customHeight="1" x14ac:dyDescent="0.2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2.75" customHeight="1" x14ac:dyDescent="0.2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2.75" customHeight="1" x14ac:dyDescent="0.2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2.75" customHeight="1" x14ac:dyDescent="0.2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2.75" customHeight="1" x14ac:dyDescent="0.2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2.75" customHeight="1" x14ac:dyDescent="0.2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2.75" customHeight="1" x14ac:dyDescent="0.2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2.75" customHeight="1" x14ac:dyDescent="0.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2.75" customHeight="1" x14ac:dyDescent="0.2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2.75" customHeight="1" x14ac:dyDescent="0.2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2.75" customHeight="1" x14ac:dyDescent="0.2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2.75" customHeight="1" x14ac:dyDescent="0.2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2.75" customHeight="1" x14ac:dyDescent="0.2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2.75" customHeight="1" x14ac:dyDescent="0.2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2.75" customHeight="1" x14ac:dyDescent="0.2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2.75" customHeight="1" x14ac:dyDescent="0.2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2.75" customHeight="1" x14ac:dyDescent="0.2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2.75" customHeight="1" x14ac:dyDescent="0.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2.75" customHeight="1" x14ac:dyDescent="0.2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2.75" customHeight="1" x14ac:dyDescent="0.2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2.75" customHeight="1" x14ac:dyDescent="0.2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2.75" customHeight="1" x14ac:dyDescent="0.2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2.75" customHeight="1" x14ac:dyDescent="0.2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2.75" customHeight="1" x14ac:dyDescent="0.2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2.75" customHeight="1" x14ac:dyDescent="0.2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2.75" customHeight="1" x14ac:dyDescent="0.2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2.75" customHeight="1" x14ac:dyDescent="0.2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2.75" customHeight="1" x14ac:dyDescent="0.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2.75" customHeight="1" x14ac:dyDescent="0.2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2.75" customHeight="1" x14ac:dyDescent="0.2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2.75" customHeight="1" x14ac:dyDescent="0.2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2.75" customHeight="1" x14ac:dyDescent="0.2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2.75" customHeight="1" x14ac:dyDescent="0.2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2.75" customHeight="1" x14ac:dyDescent="0.2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2.75" customHeight="1" x14ac:dyDescent="0.2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2.75" customHeight="1" x14ac:dyDescent="0.2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2.75" customHeight="1" x14ac:dyDescent="0.2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2.75" customHeight="1" x14ac:dyDescent="0.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2.75" customHeight="1" x14ac:dyDescent="0.2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2.75" customHeight="1" x14ac:dyDescent="0.2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2.75" customHeight="1" x14ac:dyDescent="0.2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2.75" customHeight="1" x14ac:dyDescent="0.2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2.75" customHeight="1" x14ac:dyDescent="0.2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2.75" customHeight="1" x14ac:dyDescent="0.2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2.75" customHeight="1" x14ac:dyDescent="0.2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2.75" customHeight="1" x14ac:dyDescent="0.2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2.75" customHeight="1" x14ac:dyDescent="0.2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2.75" customHeight="1" x14ac:dyDescent="0.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2.75" customHeight="1" x14ac:dyDescent="0.2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2.75" customHeight="1" x14ac:dyDescent="0.2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2.75" customHeight="1" x14ac:dyDescent="0.2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2.75" customHeight="1" x14ac:dyDescent="0.2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2.75" customHeight="1" x14ac:dyDescent="0.2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2.75" customHeight="1" x14ac:dyDescent="0.2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2.75" customHeight="1" x14ac:dyDescent="0.2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2.75" customHeight="1" x14ac:dyDescent="0.2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2.75" customHeight="1" x14ac:dyDescent="0.2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2.75" customHeight="1" x14ac:dyDescent="0.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2.75" customHeight="1" x14ac:dyDescent="0.2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2.75" customHeight="1" x14ac:dyDescent="0.2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2.75" customHeight="1" x14ac:dyDescent="0.2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2.75" customHeight="1" x14ac:dyDescent="0.2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2.75" customHeight="1" x14ac:dyDescent="0.2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2.75" customHeight="1" x14ac:dyDescent="0.2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2.75" customHeight="1" x14ac:dyDescent="0.2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2.75" customHeight="1" x14ac:dyDescent="0.2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2.75" customHeight="1" x14ac:dyDescent="0.2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2.75" customHeight="1" x14ac:dyDescent="0.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2.75" customHeight="1" x14ac:dyDescent="0.2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2.75" customHeight="1" x14ac:dyDescent="0.2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2.75" customHeight="1" x14ac:dyDescent="0.2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2.75" customHeight="1" x14ac:dyDescent="0.2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2.75" customHeight="1" x14ac:dyDescent="0.2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2.75" customHeight="1" x14ac:dyDescent="0.2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2.75" customHeight="1" x14ac:dyDescent="0.2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2.75" customHeight="1" x14ac:dyDescent="0.2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2.75" customHeight="1" x14ac:dyDescent="0.2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2.75" customHeight="1" x14ac:dyDescent="0.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2.75" customHeight="1" x14ac:dyDescent="0.2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2.75" customHeight="1" x14ac:dyDescent="0.2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2.75" customHeight="1" x14ac:dyDescent="0.2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2.75" customHeight="1" x14ac:dyDescent="0.2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2.75" customHeight="1" x14ac:dyDescent="0.2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2.75" customHeight="1" x14ac:dyDescent="0.2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2.75" customHeight="1" x14ac:dyDescent="0.2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2.75" customHeight="1" x14ac:dyDescent="0.2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2.75" customHeight="1" x14ac:dyDescent="0.2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2.75" customHeight="1" x14ac:dyDescent="0.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2.75" customHeight="1" x14ac:dyDescent="0.2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2.75" customHeight="1" x14ac:dyDescent="0.2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2.75" customHeight="1" x14ac:dyDescent="0.2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2.75" customHeight="1" x14ac:dyDescent="0.2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2.75" customHeight="1" x14ac:dyDescent="0.2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2.75" customHeight="1" x14ac:dyDescent="0.2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2.75" customHeight="1" x14ac:dyDescent="0.2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2.75" customHeight="1" x14ac:dyDescent="0.2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2.75" customHeight="1" x14ac:dyDescent="0.2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2.75" customHeight="1" x14ac:dyDescent="0.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2.75" customHeight="1" x14ac:dyDescent="0.2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2.75" customHeight="1" x14ac:dyDescent="0.2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2.75" customHeight="1" x14ac:dyDescent="0.2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2.75" customHeight="1" x14ac:dyDescent="0.2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2.75" customHeight="1" x14ac:dyDescent="0.2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2.75" customHeight="1" x14ac:dyDescent="0.2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2.75" customHeight="1" x14ac:dyDescent="0.2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2.75" customHeight="1" x14ac:dyDescent="0.2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2.75" customHeight="1" x14ac:dyDescent="0.2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2.75" customHeight="1" x14ac:dyDescent="0.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2.75" customHeight="1" x14ac:dyDescent="0.2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2.75" customHeight="1" x14ac:dyDescent="0.2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2.75" customHeight="1" x14ac:dyDescent="0.2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2.75" customHeight="1" x14ac:dyDescent="0.2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2.75" customHeight="1" x14ac:dyDescent="0.2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2.75" customHeight="1" x14ac:dyDescent="0.2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2.75" customHeight="1" x14ac:dyDescent="0.2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2.75" customHeight="1" x14ac:dyDescent="0.2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2.75" customHeight="1" x14ac:dyDescent="0.2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2.75" customHeight="1" x14ac:dyDescent="0.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2.75" customHeight="1" x14ac:dyDescent="0.2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2.75" customHeight="1" x14ac:dyDescent="0.2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2.75" customHeight="1" x14ac:dyDescent="0.2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2.75" customHeight="1" x14ac:dyDescent="0.2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2.75" customHeight="1" x14ac:dyDescent="0.2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2.75" customHeight="1" x14ac:dyDescent="0.2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2.75" customHeight="1" x14ac:dyDescent="0.2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2.75" customHeight="1" x14ac:dyDescent="0.2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2.75" customHeight="1" x14ac:dyDescent="0.2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2.75" customHeight="1" x14ac:dyDescent="0.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2.75" customHeight="1" x14ac:dyDescent="0.2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2.75" customHeight="1" x14ac:dyDescent="0.2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2.75" customHeight="1" x14ac:dyDescent="0.2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2.75" customHeight="1" x14ac:dyDescent="0.2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2.75" customHeight="1" x14ac:dyDescent="0.2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2.75" customHeight="1" x14ac:dyDescent="0.2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2.75" customHeight="1" x14ac:dyDescent="0.2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2.75" customHeight="1" x14ac:dyDescent="0.2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2.75" customHeight="1" x14ac:dyDescent="0.2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2.75" customHeight="1" x14ac:dyDescent="0.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2.75" customHeight="1" x14ac:dyDescent="0.2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2.75" customHeight="1" x14ac:dyDescent="0.2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2.75" customHeight="1" x14ac:dyDescent="0.2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2.75" customHeight="1" x14ac:dyDescent="0.2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2.75" customHeight="1" x14ac:dyDescent="0.2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2.75" customHeight="1" x14ac:dyDescent="0.2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2.75" customHeight="1" x14ac:dyDescent="0.2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2.75" customHeight="1" x14ac:dyDescent="0.2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2.75" customHeight="1" x14ac:dyDescent="0.2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2.75" customHeight="1" x14ac:dyDescent="0.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2.75" customHeight="1" x14ac:dyDescent="0.2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2.75" customHeight="1" x14ac:dyDescent="0.2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2.75" customHeight="1" x14ac:dyDescent="0.2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2.75" customHeight="1" x14ac:dyDescent="0.2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2.75" customHeight="1" x14ac:dyDescent="0.2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2.75" customHeight="1" x14ac:dyDescent="0.2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2.75" customHeight="1" x14ac:dyDescent="0.2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2.75" customHeight="1" x14ac:dyDescent="0.2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2.75" customHeight="1" x14ac:dyDescent="0.2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2.75" customHeight="1" x14ac:dyDescent="0.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2.75" customHeight="1" x14ac:dyDescent="0.2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2.75" customHeight="1" x14ac:dyDescent="0.2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2.75" customHeight="1" x14ac:dyDescent="0.2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2.75" customHeight="1" x14ac:dyDescent="0.2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2.75" customHeight="1" x14ac:dyDescent="0.2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2.75" customHeight="1" x14ac:dyDescent="0.2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2.75" customHeight="1" x14ac:dyDescent="0.2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2.75" customHeight="1" x14ac:dyDescent="0.2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2.75" customHeight="1" x14ac:dyDescent="0.2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2.75" customHeight="1" x14ac:dyDescent="0.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2.75" customHeight="1" x14ac:dyDescent="0.2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2.75" customHeight="1" x14ac:dyDescent="0.2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2.75" customHeight="1" x14ac:dyDescent="0.2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2.75" customHeight="1" x14ac:dyDescent="0.2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2.75" customHeight="1" x14ac:dyDescent="0.2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2.75" customHeight="1" x14ac:dyDescent="0.2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2.75" customHeight="1" x14ac:dyDescent="0.2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2.75" customHeight="1" x14ac:dyDescent="0.2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2.75" customHeight="1" x14ac:dyDescent="0.2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2.75" customHeight="1" x14ac:dyDescent="0.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2.75" customHeight="1" x14ac:dyDescent="0.2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2.75" customHeight="1" x14ac:dyDescent="0.2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2.75" customHeight="1" x14ac:dyDescent="0.2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2.75" customHeight="1" x14ac:dyDescent="0.2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2.75" customHeight="1" x14ac:dyDescent="0.2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2.75" customHeight="1" x14ac:dyDescent="0.2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2.75" customHeight="1" x14ac:dyDescent="0.2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2.75" customHeight="1" x14ac:dyDescent="0.2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2.75" customHeight="1" x14ac:dyDescent="0.2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2.75" customHeight="1" x14ac:dyDescent="0.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2.75" customHeight="1" x14ac:dyDescent="0.2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2.75" customHeight="1" x14ac:dyDescent="0.2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2.75" customHeight="1" x14ac:dyDescent="0.2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2.75" customHeight="1" x14ac:dyDescent="0.2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2.75" customHeight="1" x14ac:dyDescent="0.2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2.75" customHeight="1" x14ac:dyDescent="0.2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2.75" customHeight="1" x14ac:dyDescent="0.2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2.75" customHeight="1" x14ac:dyDescent="0.2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2.75" customHeight="1" x14ac:dyDescent="0.2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2.75" customHeight="1" x14ac:dyDescent="0.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2.75" customHeight="1" x14ac:dyDescent="0.2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2.75" customHeight="1" x14ac:dyDescent="0.2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2.75" customHeight="1" x14ac:dyDescent="0.2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2.75" customHeight="1" x14ac:dyDescent="0.2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2.75" customHeight="1" x14ac:dyDescent="0.2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2.75" customHeight="1" x14ac:dyDescent="0.2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2.75" customHeight="1" x14ac:dyDescent="0.2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2.75" customHeight="1" x14ac:dyDescent="0.2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2.75" customHeight="1" x14ac:dyDescent="0.2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2.75" customHeight="1" x14ac:dyDescent="0.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2.75" customHeight="1" x14ac:dyDescent="0.2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2.75" customHeight="1" x14ac:dyDescent="0.2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2.75" customHeight="1" x14ac:dyDescent="0.2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2.75" customHeight="1" x14ac:dyDescent="0.2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2.75" customHeight="1" x14ac:dyDescent="0.2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2.75" customHeight="1" x14ac:dyDescent="0.2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2.75" customHeight="1" x14ac:dyDescent="0.2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2.75" customHeight="1" x14ac:dyDescent="0.2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2.75" customHeight="1" x14ac:dyDescent="0.2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2.75" customHeight="1" x14ac:dyDescent="0.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2.75" customHeight="1" x14ac:dyDescent="0.2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2.75" customHeight="1" x14ac:dyDescent="0.2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2.75" customHeight="1" x14ac:dyDescent="0.2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2.75" customHeight="1" x14ac:dyDescent="0.2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2.75" customHeight="1" x14ac:dyDescent="0.2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2.75" customHeight="1" x14ac:dyDescent="0.2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2.75" customHeight="1" x14ac:dyDescent="0.2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2.75" customHeight="1" x14ac:dyDescent="0.2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2.75" customHeight="1" x14ac:dyDescent="0.2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2.75" customHeight="1" x14ac:dyDescent="0.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2.75" customHeight="1" x14ac:dyDescent="0.2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2.75" customHeight="1" x14ac:dyDescent="0.2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2.75" customHeight="1" x14ac:dyDescent="0.2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2.75" customHeight="1" x14ac:dyDescent="0.2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2.75" customHeight="1" x14ac:dyDescent="0.2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2.75" customHeight="1" x14ac:dyDescent="0.2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2.75" customHeight="1" x14ac:dyDescent="0.2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2.75" customHeight="1" x14ac:dyDescent="0.2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2.75" customHeight="1" x14ac:dyDescent="0.2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2.75" customHeight="1" x14ac:dyDescent="0.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2.75" customHeight="1" x14ac:dyDescent="0.2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2.75" customHeight="1" x14ac:dyDescent="0.2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2.75" customHeight="1" x14ac:dyDescent="0.2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2.75" customHeight="1" x14ac:dyDescent="0.2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2.75" customHeight="1" x14ac:dyDescent="0.2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2.75" customHeight="1" x14ac:dyDescent="0.2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2.75" customHeight="1" x14ac:dyDescent="0.2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2.75" customHeight="1" x14ac:dyDescent="0.2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2.75" customHeight="1" x14ac:dyDescent="0.2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2.75" customHeight="1" x14ac:dyDescent="0.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2.75" customHeight="1" x14ac:dyDescent="0.2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2.75" customHeight="1" x14ac:dyDescent="0.2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2.75" customHeight="1" x14ac:dyDescent="0.2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2.75" customHeight="1" x14ac:dyDescent="0.2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2.75" customHeight="1" x14ac:dyDescent="0.2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2.75" customHeight="1" x14ac:dyDescent="0.2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2.75" customHeight="1" x14ac:dyDescent="0.2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2.75" customHeight="1" x14ac:dyDescent="0.2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2.75" customHeight="1" x14ac:dyDescent="0.2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2.75" customHeight="1" x14ac:dyDescent="0.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2.75" customHeight="1" x14ac:dyDescent="0.2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2.75" customHeight="1" x14ac:dyDescent="0.2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2.75" customHeight="1" x14ac:dyDescent="0.2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2.75" customHeight="1" x14ac:dyDescent="0.2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2.75" customHeight="1" x14ac:dyDescent="0.2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2.75" customHeight="1" x14ac:dyDescent="0.2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2.75" customHeight="1" x14ac:dyDescent="0.2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2.75" customHeight="1" x14ac:dyDescent="0.2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2.75" customHeight="1" x14ac:dyDescent="0.2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2.75" customHeight="1" x14ac:dyDescent="0.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2.75" customHeight="1" x14ac:dyDescent="0.2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2.75" customHeight="1" x14ac:dyDescent="0.2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2.75" customHeight="1" x14ac:dyDescent="0.2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2.75" customHeight="1" x14ac:dyDescent="0.2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2.75" customHeight="1" x14ac:dyDescent="0.2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2.75" customHeight="1" x14ac:dyDescent="0.2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2.75" customHeight="1" x14ac:dyDescent="0.2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.75" customHeight="1" x14ac:dyDescent="0.2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2.75" customHeight="1" x14ac:dyDescent="0.2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2.75" customHeight="1" x14ac:dyDescent="0.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2.75" customHeight="1" x14ac:dyDescent="0.2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2.75" customHeight="1" x14ac:dyDescent="0.2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2.75" customHeight="1" x14ac:dyDescent="0.2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2.75" customHeight="1" x14ac:dyDescent="0.2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2.75" customHeight="1" x14ac:dyDescent="0.2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2.75" customHeight="1" x14ac:dyDescent="0.2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2.75" customHeight="1" x14ac:dyDescent="0.2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2.75" customHeight="1" x14ac:dyDescent="0.2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2.75" customHeight="1" x14ac:dyDescent="0.2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2.75" customHeight="1" x14ac:dyDescent="0.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2.75" customHeight="1" x14ac:dyDescent="0.2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2.75" customHeight="1" x14ac:dyDescent="0.2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2.75" customHeight="1" x14ac:dyDescent="0.2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2.75" customHeight="1" x14ac:dyDescent="0.2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2.75" customHeight="1" x14ac:dyDescent="0.2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2.75" customHeight="1" x14ac:dyDescent="0.2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2.75" customHeight="1" x14ac:dyDescent="0.2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2.75" customHeight="1" x14ac:dyDescent="0.2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2.75" customHeight="1" x14ac:dyDescent="0.2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2.75" customHeight="1" x14ac:dyDescent="0.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2.75" customHeight="1" x14ac:dyDescent="0.2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2.75" customHeight="1" x14ac:dyDescent="0.2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2.75" customHeight="1" x14ac:dyDescent="0.2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2.75" customHeight="1" x14ac:dyDescent="0.2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2.75" customHeight="1" x14ac:dyDescent="0.2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2.75" customHeight="1" x14ac:dyDescent="0.2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2.75" customHeight="1" x14ac:dyDescent="0.2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2.75" customHeight="1" x14ac:dyDescent="0.2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2.75" customHeight="1" x14ac:dyDescent="0.2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2.75" customHeight="1" x14ac:dyDescent="0.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2.75" customHeight="1" x14ac:dyDescent="0.2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2.75" customHeight="1" x14ac:dyDescent="0.2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2.75" customHeight="1" x14ac:dyDescent="0.2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2.75" customHeight="1" x14ac:dyDescent="0.2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2.75" customHeight="1" x14ac:dyDescent="0.2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2.75" customHeight="1" x14ac:dyDescent="0.2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2.75" customHeight="1" x14ac:dyDescent="0.2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2.75" customHeight="1" x14ac:dyDescent="0.2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2.75" customHeight="1" x14ac:dyDescent="0.2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2.75" customHeight="1" x14ac:dyDescent="0.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2.75" customHeight="1" x14ac:dyDescent="0.2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2.75" customHeight="1" x14ac:dyDescent="0.2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2.75" customHeight="1" x14ac:dyDescent="0.2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2.75" customHeight="1" x14ac:dyDescent="0.2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2.75" customHeight="1" x14ac:dyDescent="0.2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2.75" customHeight="1" x14ac:dyDescent="0.2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2.75" customHeight="1" x14ac:dyDescent="0.2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2.75" customHeight="1" x14ac:dyDescent="0.2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2.75" customHeight="1" x14ac:dyDescent="0.2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2.75" customHeight="1" x14ac:dyDescent="0.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2.75" customHeight="1" x14ac:dyDescent="0.2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2.75" customHeight="1" x14ac:dyDescent="0.2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2.75" customHeight="1" x14ac:dyDescent="0.2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2.75" customHeight="1" x14ac:dyDescent="0.2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2.75" customHeight="1" x14ac:dyDescent="0.2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2.75" customHeight="1" x14ac:dyDescent="0.2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2.75" customHeight="1" x14ac:dyDescent="0.2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2.75" customHeight="1" x14ac:dyDescent="0.2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2.75" customHeight="1" x14ac:dyDescent="0.2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2.75" customHeight="1" x14ac:dyDescent="0.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2.75" customHeight="1" x14ac:dyDescent="0.2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2.75" customHeight="1" x14ac:dyDescent="0.2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2.75" customHeight="1" x14ac:dyDescent="0.2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2.75" customHeight="1" x14ac:dyDescent="0.2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2.75" customHeight="1" x14ac:dyDescent="0.2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2.75" customHeight="1" x14ac:dyDescent="0.2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2.75" customHeight="1" x14ac:dyDescent="0.2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2.75" customHeight="1" x14ac:dyDescent="0.2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2.75" customHeight="1" x14ac:dyDescent="0.2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2.75" customHeight="1" x14ac:dyDescent="0.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2.75" customHeight="1" x14ac:dyDescent="0.2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2.75" customHeight="1" x14ac:dyDescent="0.2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2.75" customHeight="1" x14ac:dyDescent="0.2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2.75" customHeight="1" x14ac:dyDescent="0.2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2.75" customHeight="1" x14ac:dyDescent="0.2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2.75" customHeight="1" x14ac:dyDescent="0.2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2.75" customHeight="1" x14ac:dyDescent="0.2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2.75" customHeight="1" x14ac:dyDescent="0.2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2.75" customHeight="1" x14ac:dyDescent="0.2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2.75" customHeight="1" x14ac:dyDescent="0.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2.75" customHeight="1" x14ac:dyDescent="0.2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2.75" customHeight="1" x14ac:dyDescent="0.2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2.75" customHeight="1" x14ac:dyDescent="0.2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2.75" customHeight="1" x14ac:dyDescent="0.2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2.75" customHeight="1" x14ac:dyDescent="0.2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2.75" customHeight="1" x14ac:dyDescent="0.2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2.75" customHeight="1" x14ac:dyDescent="0.2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2.75" customHeight="1" x14ac:dyDescent="0.2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2.75" customHeight="1" x14ac:dyDescent="0.2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2.75" customHeight="1" x14ac:dyDescent="0.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2.75" customHeight="1" x14ac:dyDescent="0.2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2.75" customHeight="1" x14ac:dyDescent="0.2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2.75" customHeight="1" x14ac:dyDescent="0.2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2.75" customHeight="1" x14ac:dyDescent="0.2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.75" customHeight="1" x14ac:dyDescent="0.2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2.75" customHeight="1" x14ac:dyDescent="0.2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2.75" customHeight="1" x14ac:dyDescent="0.2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2.75" customHeight="1" x14ac:dyDescent="0.2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2.75" customHeight="1" x14ac:dyDescent="0.2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2.75" customHeight="1" x14ac:dyDescent="0.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2.75" customHeight="1" x14ac:dyDescent="0.2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2.75" customHeight="1" x14ac:dyDescent="0.2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2.75" customHeight="1" x14ac:dyDescent="0.2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2.75" customHeight="1" x14ac:dyDescent="0.2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2.75" customHeight="1" x14ac:dyDescent="0.2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2.75" customHeight="1" x14ac:dyDescent="0.2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2.75" customHeight="1" x14ac:dyDescent="0.2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2.75" customHeight="1" x14ac:dyDescent="0.2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2.75" customHeight="1" x14ac:dyDescent="0.2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2.75" customHeight="1" x14ac:dyDescent="0.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2.75" customHeight="1" x14ac:dyDescent="0.2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2.75" customHeight="1" x14ac:dyDescent="0.2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2.75" customHeight="1" x14ac:dyDescent="0.2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2.75" customHeight="1" x14ac:dyDescent="0.2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2.75" customHeight="1" x14ac:dyDescent="0.2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2.75" customHeight="1" x14ac:dyDescent="0.2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2.75" customHeight="1" x14ac:dyDescent="0.2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2.75" customHeight="1" x14ac:dyDescent="0.2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2.75" customHeight="1" x14ac:dyDescent="0.2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2.75" customHeight="1" x14ac:dyDescent="0.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2.75" customHeight="1" x14ac:dyDescent="0.2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2.75" customHeight="1" x14ac:dyDescent="0.2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2.75" customHeight="1" x14ac:dyDescent="0.2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2.75" customHeight="1" x14ac:dyDescent="0.2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2.75" customHeight="1" x14ac:dyDescent="0.2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2.75" customHeight="1" x14ac:dyDescent="0.2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2.75" customHeight="1" x14ac:dyDescent="0.2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2.75" customHeight="1" x14ac:dyDescent="0.2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2.75" customHeight="1" x14ac:dyDescent="0.2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2.75" customHeight="1" x14ac:dyDescent="0.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2.75" customHeight="1" x14ac:dyDescent="0.2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2.75" customHeight="1" x14ac:dyDescent="0.2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2.75" customHeight="1" x14ac:dyDescent="0.2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2.75" customHeight="1" x14ac:dyDescent="0.2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2.75" customHeight="1" x14ac:dyDescent="0.2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2.75" customHeight="1" x14ac:dyDescent="0.2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2.75" customHeight="1" x14ac:dyDescent="0.2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2.75" customHeight="1" x14ac:dyDescent="0.2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2.75" customHeight="1" x14ac:dyDescent="0.2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2.75" customHeight="1" x14ac:dyDescent="0.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2.75" customHeight="1" x14ac:dyDescent="0.2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2.75" customHeight="1" x14ac:dyDescent="0.2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2.75" customHeight="1" x14ac:dyDescent="0.2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2.75" customHeight="1" x14ac:dyDescent="0.2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2.75" customHeight="1" x14ac:dyDescent="0.2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2.75" customHeight="1" x14ac:dyDescent="0.2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2.75" customHeight="1" x14ac:dyDescent="0.2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2.75" customHeight="1" x14ac:dyDescent="0.2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2.75" customHeight="1" x14ac:dyDescent="0.2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2.75" customHeight="1" x14ac:dyDescent="0.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2.75" customHeight="1" x14ac:dyDescent="0.2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2.75" customHeight="1" x14ac:dyDescent="0.2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2.75" customHeight="1" x14ac:dyDescent="0.2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2.75" customHeight="1" x14ac:dyDescent="0.2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2.75" customHeight="1" x14ac:dyDescent="0.2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2.75" customHeight="1" x14ac:dyDescent="0.2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2.75" customHeight="1" x14ac:dyDescent="0.2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2.75" customHeight="1" x14ac:dyDescent="0.2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2.75" customHeight="1" x14ac:dyDescent="0.2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2.75" customHeight="1" x14ac:dyDescent="0.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2.75" customHeight="1" x14ac:dyDescent="0.2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2.75" customHeight="1" x14ac:dyDescent="0.2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2.75" customHeight="1" x14ac:dyDescent="0.2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2.75" customHeight="1" x14ac:dyDescent="0.2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2.75" customHeight="1" x14ac:dyDescent="0.2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2.75" customHeight="1" x14ac:dyDescent="0.2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2.75" customHeight="1" x14ac:dyDescent="0.2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2.75" customHeight="1" x14ac:dyDescent="0.2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2.75" customHeight="1" x14ac:dyDescent="0.2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2.75" customHeight="1" x14ac:dyDescent="0.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2.75" customHeight="1" x14ac:dyDescent="0.2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2.75" customHeight="1" x14ac:dyDescent="0.2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2.75" customHeight="1" x14ac:dyDescent="0.2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2.75" customHeight="1" x14ac:dyDescent="0.2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2.75" customHeight="1" x14ac:dyDescent="0.2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2.75" customHeight="1" x14ac:dyDescent="0.2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2.75" customHeight="1" x14ac:dyDescent="0.2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2.75" customHeight="1" x14ac:dyDescent="0.2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2.75" customHeight="1" x14ac:dyDescent="0.2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2.75" customHeight="1" x14ac:dyDescent="0.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2.75" customHeight="1" x14ac:dyDescent="0.2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2.75" customHeight="1" x14ac:dyDescent="0.2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2.75" customHeight="1" x14ac:dyDescent="0.2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2.75" customHeight="1" x14ac:dyDescent="0.2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2.75" customHeight="1" x14ac:dyDescent="0.2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2.75" customHeight="1" x14ac:dyDescent="0.2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2.75" customHeight="1" x14ac:dyDescent="0.2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2.75" customHeight="1" x14ac:dyDescent="0.2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2.75" customHeight="1" x14ac:dyDescent="0.2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2.75" customHeight="1" x14ac:dyDescent="0.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2.75" customHeight="1" x14ac:dyDescent="0.2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2.75" customHeight="1" x14ac:dyDescent="0.2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2.75" customHeight="1" x14ac:dyDescent="0.2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2.75" customHeight="1" x14ac:dyDescent="0.2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2.75" customHeight="1" x14ac:dyDescent="0.2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2.75" customHeight="1" x14ac:dyDescent="0.2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2.75" customHeight="1" x14ac:dyDescent="0.2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2.75" customHeight="1" x14ac:dyDescent="0.2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2.75" customHeight="1" x14ac:dyDescent="0.2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2.75" customHeight="1" x14ac:dyDescent="0.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2.75" customHeight="1" x14ac:dyDescent="0.2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2.75" customHeight="1" x14ac:dyDescent="0.2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2.75" customHeight="1" x14ac:dyDescent="0.2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2.75" customHeight="1" x14ac:dyDescent="0.2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2.75" customHeight="1" x14ac:dyDescent="0.2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2.75" customHeight="1" x14ac:dyDescent="0.2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2.75" customHeight="1" x14ac:dyDescent="0.2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2.75" customHeight="1" x14ac:dyDescent="0.2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2.75" customHeight="1" x14ac:dyDescent="0.2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2.75" customHeight="1" x14ac:dyDescent="0.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2.75" customHeight="1" x14ac:dyDescent="0.2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.75" customHeight="1" x14ac:dyDescent="0.2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2.75" customHeight="1" x14ac:dyDescent="0.2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2.75" customHeight="1" x14ac:dyDescent="0.2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2.75" customHeight="1" x14ac:dyDescent="0.2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2.75" customHeight="1" x14ac:dyDescent="0.2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2.75" customHeight="1" x14ac:dyDescent="0.2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2.75" customHeight="1" x14ac:dyDescent="0.2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2.75" customHeight="1" x14ac:dyDescent="0.2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2.75" customHeight="1" x14ac:dyDescent="0.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2.75" customHeight="1" x14ac:dyDescent="0.2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2.75" customHeight="1" x14ac:dyDescent="0.2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2.75" customHeight="1" x14ac:dyDescent="0.2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2.75" customHeight="1" x14ac:dyDescent="0.2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2.75" customHeight="1" x14ac:dyDescent="0.2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2.75" customHeight="1" x14ac:dyDescent="0.2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2.75" customHeight="1" x14ac:dyDescent="0.2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2.75" customHeight="1" x14ac:dyDescent="0.2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2.75" customHeight="1" x14ac:dyDescent="0.2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2.75" customHeight="1" x14ac:dyDescent="0.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2.75" customHeight="1" x14ac:dyDescent="0.2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2.75" customHeight="1" x14ac:dyDescent="0.2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2.75" customHeight="1" x14ac:dyDescent="0.2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2.75" customHeight="1" x14ac:dyDescent="0.2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2.75" customHeight="1" x14ac:dyDescent="0.2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2.75" customHeight="1" x14ac:dyDescent="0.2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2.75" customHeight="1" x14ac:dyDescent="0.2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2.75" customHeight="1" x14ac:dyDescent="0.2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2.75" customHeight="1" x14ac:dyDescent="0.2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2.75" customHeight="1" x14ac:dyDescent="0.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2.75" customHeight="1" x14ac:dyDescent="0.2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2.75" customHeight="1" x14ac:dyDescent="0.2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2.75" customHeight="1" x14ac:dyDescent="0.2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2.75" customHeight="1" x14ac:dyDescent="0.2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2.75" customHeight="1" x14ac:dyDescent="0.2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2.75" customHeight="1" x14ac:dyDescent="0.2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2.75" customHeight="1" x14ac:dyDescent="0.2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2.75" customHeight="1" x14ac:dyDescent="0.2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2.75" customHeight="1" x14ac:dyDescent="0.2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2.75" customHeight="1" x14ac:dyDescent="0.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2.75" customHeight="1" x14ac:dyDescent="0.2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2.75" customHeight="1" x14ac:dyDescent="0.2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2.75" customHeight="1" x14ac:dyDescent="0.2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2.75" customHeight="1" x14ac:dyDescent="0.2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2.75" customHeight="1" x14ac:dyDescent="0.2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2.75" customHeight="1" x14ac:dyDescent="0.2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2.75" customHeight="1" x14ac:dyDescent="0.2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2.75" customHeight="1" x14ac:dyDescent="0.2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2.75" customHeight="1" x14ac:dyDescent="0.2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2.75" customHeight="1" x14ac:dyDescent="0.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2.75" customHeight="1" x14ac:dyDescent="0.2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2.75" customHeight="1" x14ac:dyDescent="0.2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2.75" customHeight="1" x14ac:dyDescent="0.2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2.75" customHeight="1" x14ac:dyDescent="0.2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2.75" customHeight="1" x14ac:dyDescent="0.2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2.75" customHeight="1" x14ac:dyDescent="0.2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2.75" customHeight="1" x14ac:dyDescent="0.2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2.75" customHeight="1" x14ac:dyDescent="0.2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2.75" customHeight="1" x14ac:dyDescent="0.2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2.75" customHeight="1" x14ac:dyDescent="0.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2.75" customHeight="1" x14ac:dyDescent="0.2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2.75" customHeight="1" x14ac:dyDescent="0.2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2.75" customHeight="1" x14ac:dyDescent="0.2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2.75" customHeight="1" x14ac:dyDescent="0.2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2.75" customHeight="1" x14ac:dyDescent="0.2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2.75" customHeight="1" x14ac:dyDescent="0.2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2.75" customHeight="1" x14ac:dyDescent="0.2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2.75" customHeight="1" x14ac:dyDescent="0.2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2.75" customHeight="1" x14ac:dyDescent="0.2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2.75" customHeight="1" x14ac:dyDescent="0.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2.75" customHeight="1" x14ac:dyDescent="0.2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2.75" customHeight="1" x14ac:dyDescent="0.2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2.75" customHeight="1" x14ac:dyDescent="0.2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2.75" customHeight="1" x14ac:dyDescent="0.2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2.75" customHeight="1" x14ac:dyDescent="0.2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2.75" customHeight="1" x14ac:dyDescent="0.2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2.75" customHeight="1" x14ac:dyDescent="0.2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2.75" customHeight="1" x14ac:dyDescent="0.2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2.75" customHeight="1" x14ac:dyDescent="0.2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2.75" customHeight="1" x14ac:dyDescent="0.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.75" customHeight="1" x14ac:dyDescent="0.2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2.75" customHeight="1" x14ac:dyDescent="0.2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2.75" customHeight="1" x14ac:dyDescent="0.2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2.75" customHeight="1" x14ac:dyDescent="0.2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2.75" customHeight="1" x14ac:dyDescent="0.2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2.75" customHeight="1" x14ac:dyDescent="0.2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2.75" customHeight="1" x14ac:dyDescent="0.2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2.75" customHeight="1" x14ac:dyDescent="0.2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2.75" customHeight="1" x14ac:dyDescent="0.2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2.75" customHeight="1" x14ac:dyDescent="0.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2.75" customHeight="1" x14ac:dyDescent="0.2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2.75" customHeight="1" x14ac:dyDescent="0.2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2.75" customHeight="1" x14ac:dyDescent="0.2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2.75" customHeight="1" x14ac:dyDescent="0.2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2.75" customHeight="1" x14ac:dyDescent="0.2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2.75" customHeight="1" x14ac:dyDescent="0.2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2.75" customHeight="1" x14ac:dyDescent="0.2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2.75" customHeight="1" x14ac:dyDescent="0.2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2.75" customHeight="1" x14ac:dyDescent="0.2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2.75" customHeight="1" x14ac:dyDescent="0.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2.75" customHeight="1" x14ac:dyDescent="0.2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2.75" customHeight="1" x14ac:dyDescent="0.2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2.75" customHeight="1" x14ac:dyDescent="0.2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2.75" customHeight="1" x14ac:dyDescent="0.2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2.75" customHeight="1" x14ac:dyDescent="0.2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2.75" customHeight="1" x14ac:dyDescent="0.2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2.75" customHeight="1" x14ac:dyDescent="0.2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2.75" customHeight="1" x14ac:dyDescent="0.2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2.75" customHeight="1" x14ac:dyDescent="0.2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2.75" customHeight="1" x14ac:dyDescent="0.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2.75" customHeight="1" x14ac:dyDescent="0.2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2.75" customHeight="1" x14ac:dyDescent="0.2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2.75" customHeight="1" x14ac:dyDescent="0.2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2.75" customHeight="1" x14ac:dyDescent="0.2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2.75" customHeight="1" x14ac:dyDescent="0.2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2.75" customHeight="1" x14ac:dyDescent="0.2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2.75" customHeight="1" x14ac:dyDescent="0.2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2.75" customHeight="1" x14ac:dyDescent="0.2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2.75" customHeight="1" x14ac:dyDescent="0.2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2.75" customHeight="1" x14ac:dyDescent="0.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2.75" customHeight="1" x14ac:dyDescent="0.2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2.75" customHeight="1" x14ac:dyDescent="0.2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2.75" customHeight="1" x14ac:dyDescent="0.2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2.75" customHeight="1" x14ac:dyDescent="0.2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2.75" customHeight="1" x14ac:dyDescent="0.2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2.75" customHeight="1" x14ac:dyDescent="0.2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2.75" customHeight="1" x14ac:dyDescent="0.2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2.75" customHeight="1" x14ac:dyDescent="0.2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2.75" customHeight="1" x14ac:dyDescent="0.2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2.75" customHeight="1" x14ac:dyDescent="0.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2.75" customHeight="1" x14ac:dyDescent="0.2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2.75" customHeight="1" x14ac:dyDescent="0.2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2.75" customHeight="1" x14ac:dyDescent="0.2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2.75" customHeight="1" x14ac:dyDescent="0.2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2.75" customHeight="1" x14ac:dyDescent="0.2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2.75" customHeight="1" x14ac:dyDescent="0.2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2.75" customHeight="1" x14ac:dyDescent="0.2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2.75" customHeight="1" x14ac:dyDescent="0.2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2.75" customHeight="1" x14ac:dyDescent="0.2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2.75" customHeight="1" x14ac:dyDescent="0.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2.75" customHeight="1" x14ac:dyDescent="0.2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2.75" customHeight="1" x14ac:dyDescent="0.2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2.75" customHeight="1" x14ac:dyDescent="0.2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2.75" customHeight="1" x14ac:dyDescent="0.2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2.75" customHeight="1" x14ac:dyDescent="0.2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2.75" customHeight="1" x14ac:dyDescent="0.2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2.75" customHeight="1" x14ac:dyDescent="0.2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2.75" customHeight="1" x14ac:dyDescent="0.2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2.75" customHeight="1" x14ac:dyDescent="0.2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2.75" customHeight="1" x14ac:dyDescent="0.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2.75" customHeight="1" x14ac:dyDescent="0.2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2.75" customHeight="1" x14ac:dyDescent="0.2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2.75" customHeight="1" x14ac:dyDescent="0.2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2.75" customHeight="1" x14ac:dyDescent="0.2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2.75" customHeight="1" x14ac:dyDescent="0.2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2.75" customHeight="1" x14ac:dyDescent="0.2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2.75" customHeight="1" x14ac:dyDescent="0.2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2.75" customHeight="1" x14ac:dyDescent="0.2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2.75" customHeight="1" x14ac:dyDescent="0.2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2.75" customHeight="1" x14ac:dyDescent="0.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2.75" customHeight="1" x14ac:dyDescent="0.2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2.75" customHeight="1" x14ac:dyDescent="0.2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2.75" customHeight="1" x14ac:dyDescent="0.2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2.75" customHeight="1" x14ac:dyDescent="0.2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2.75" customHeight="1" x14ac:dyDescent="0.2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.75" customHeight="1" x14ac:dyDescent="0.2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2.75" customHeight="1" x14ac:dyDescent="0.2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2.75" customHeight="1" x14ac:dyDescent="0.2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2.75" customHeight="1" x14ac:dyDescent="0.2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2.75" customHeight="1" x14ac:dyDescent="0.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2.75" customHeight="1" x14ac:dyDescent="0.2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2.75" customHeight="1" x14ac:dyDescent="0.2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2.75" customHeight="1" x14ac:dyDescent="0.2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2.75" customHeight="1" x14ac:dyDescent="0.2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2.75" customHeight="1" x14ac:dyDescent="0.2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2.75" customHeight="1" x14ac:dyDescent="0.2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2.75" customHeight="1" x14ac:dyDescent="0.2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2.75" customHeight="1" x14ac:dyDescent="0.2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2.75" customHeight="1" x14ac:dyDescent="0.2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2.75" customHeight="1" x14ac:dyDescent="0.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2.75" customHeight="1" x14ac:dyDescent="0.2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2.75" customHeight="1" x14ac:dyDescent="0.2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2.75" customHeight="1" x14ac:dyDescent="0.2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2.75" customHeight="1" x14ac:dyDescent="0.2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2.75" customHeight="1" x14ac:dyDescent="0.2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2.75" customHeight="1" x14ac:dyDescent="0.2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2.75" customHeight="1" x14ac:dyDescent="0.2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2.75" customHeight="1" x14ac:dyDescent="0.2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2.75" customHeight="1" x14ac:dyDescent="0.2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2.75" customHeight="1" x14ac:dyDescent="0.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2.75" customHeight="1" x14ac:dyDescent="0.2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2.75" customHeight="1" x14ac:dyDescent="0.2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2.75" customHeight="1" x14ac:dyDescent="0.2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2.75" customHeight="1" x14ac:dyDescent="0.2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2.75" customHeight="1" x14ac:dyDescent="0.2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2.75" customHeight="1" x14ac:dyDescent="0.2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2.75" customHeight="1" x14ac:dyDescent="0.2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2.75" customHeight="1" x14ac:dyDescent="0.2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2.75" customHeight="1" x14ac:dyDescent="0.2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2.75" customHeight="1" x14ac:dyDescent="0.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2.75" customHeight="1" x14ac:dyDescent="0.2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2.75" customHeight="1" x14ac:dyDescent="0.2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2.75" customHeight="1" x14ac:dyDescent="0.2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2.75" customHeight="1" x14ac:dyDescent="0.2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2.75" customHeight="1" x14ac:dyDescent="0.2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2.75" customHeight="1" x14ac:dyDescent="0.2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2.75" customHeight="1" x14ac:dyDescent="0.2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2.75" customHeight="1" x14ac:dyDescent="0.2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2.75" customHeight="1" x14ac:dyDescent="0.2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2.75" customHeight="1" x14ac:dyDescent="0.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2.75" customHeight="1" x14ac:dyDescent="0.2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2.75" customHeight="1" x14ac:dyDescent="0.2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2.75" customHeight="1" x14ac:dyDescent="0.2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2.75" customHeight="1" x14ac:dyDescent="0.2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2.75" customHeight="1" x14ac:dyDescent="0.2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2.75" customHeight="1" x14ac:dyDescent="0.2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2.75" customHeight="1" x14ac:dyDescent="0.2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2.75" customHeight="1" x14ac:dyDescent="0.2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2.75" customHeight="1" x14ac:dyDescent="0.2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2.75" customHeight="1" x14ac:dyDescent="0.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2.75" customHeight="1" x14ac:dyDescent="0.2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2.75" customHeight="1" x14ac:dyDescent="0.2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2.75" customHeight="1" x14ac:dyDescent="0.2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2.75" customHeight="1" x14ac:dyDescent="0.2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2.75" customHeight="1" x14ac:dyDescent="0.2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2.75" customHeight="1" x14ac:dyDescent="0.2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2.75" customHeight="1" x14ac:dyDescent="0.2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2.75" customHeight="1" x14ac:dyDescent="0.2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2.75" customHeight="1" x14ac:dyDescent="0.2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2.75" customHeight="1" x14ac:dyDescent="0.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2.75" customHeight="1" x14ac:dyDescent="0.2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2.75" customHeight="1" x14ac:dyDescent="0.2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2.75" customHeight="1" x14ac:dyDescent="0.2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2.75" customHeight="1" x14ac:dyDescent="0.2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2.75" customHeight="1" x14ac:dyDescent="0.2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2.75" customHeight="1" x14ac:dyDescent="0.2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2.75" customHeight="1" x14ac:dyDescent="0.2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2.75" customHeight="1" x14ac:dyDescent="0.2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2.75" customHeight="1" x14ac:dyDescent="0.2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2.75" customHeight="1" x14ac:dyDescent="0.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2.75" customHeight="1" x14ac:dyDescent="0.2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2.75" customHeight="1" x14ac:dyDescent="0.2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2.75" customHeight="1" x14ac:dyDescent="0.2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2.75" customHeight="1" x14ac:dyDescent="0.2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2.75" customHeight="1" x14ac:dyDescent="0.2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2.75" customHeight="1" x14ac:dyDescent="0.2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2.75" customHeight="1" x14ac:dyDescent="0.2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2.75" customHeight="1" x14ac:dyDescent="0.2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2">
    <mergeCell ref="A2:C2"/>
    <mergeCell ref="H2:I2"/>
  </mergeCells>
  <pageMargins left="0.7" right="0.7" top="0.75" bottom="0.75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2C5EF2-451B-48C1-9B82-256D785315B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</vt:lpstr>
      <vt:lpstr>Income</vt:lpstr>
      <vt:lpstr>Expenses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 Dovedi - Premier Property Education</dc:creator>
  <cp:keywords/>
  <dc:description/>
  <cp:lastModifiedBy>hops lincoln</cp:lastModifiedBy>
  <cp:revision/>
  <dcterms:created xsi:type="dcterms:W3CDTF">2000-09-14T15:34:48Z</dcterms:created>
  <dcterms:modified xsi:type="dcterms:W3CDTF">2026-01-02T18:55:57Z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{BA2C5EF2-451B-48C1-9B82-256D785315BD}</vt:lpwstr>
  </property>
</Properties>
</file>